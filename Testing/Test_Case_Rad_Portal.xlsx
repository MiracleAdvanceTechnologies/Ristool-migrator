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, Sign up, Login" sheetId="1" r:id="rId4"/>
  </sheets>
  <definedNames>
    <definedName name="verify_package_Design">'Landing, Sign up, Login'!$I$8</definedName>
    <definedName name="mm">'Landing, Sign up, Login'!$I$8</definedName>
  </definedNames>
  <calcPr/>
  <extLst>
    <ext uri="GoogleSheetsCustomDataVersion1">
      <go:sheetsCustomData xmlns:go="http://customooxmlschemas.google.com/" r:id="rId5" roundtripDataSignature="AMtx7mgjR5Ur+Sya0DDEsh27V+cJIUZtPw=="/>
    </ext>
  </extLst>
</workbook>
</file>

<file path=xl/sharedStrings.xml><?xml version="1.0" encoding="utf-8"?>
<sst xmlns="http://schemas.openxmlformats.org/spreadsheetml/2006/main" count="208" uniqueCount="153">
  <si>
    <t>Product Name</t>
  </si>
  <si>
    <t>Rad Portal</t>
  </si>
  <si>
    <t>TC Start Date</t>
  </si>
  <si>
    <t>17/10/2022</t>
  </si>
  <si>
    <t>TC Execution Start Date</t>
  </si>
  <si>
    <t>TEST CASE SUMMARY</t>
  </si>
  <si>
    <t>Module Name</t>
  </si>
  <si>
    <t>Landing page, Sign Up page, Login Page</t>
  </si>
  <si>
    <t>TC End Date</t>
  </si>
  <si>
    <t>TC Execution End Date</t>
  </si>
  <si>
    <t>PASS</t>
  </si>
  <si>
    <t>Test Case Developed By</t>
  </si>
  <si>
    <t>Md. Tasin Tazwar</t>
  </si>
  <si>
    <t>Cross browser tested?</t>
  </si>
  <si>
    <t>N/A</t>
  </si>
  <si>
    <t>FAIL</t>
  </si>
  <si>
    <t>Developer Name (TL)</t>
  </si>
  <si>
    <t xml:space="preserve">Omar Nasib, Khondokar Akash </t>
  </si>
  <si>
    <t>Test Case Reviewed By</t>
  </si>
  <si>
    <t>Bipon Biswas</t>
  </si>
  <si>
    <t>WARNING</t>
  </si>
  <si>
    <t>Test Executed by</t>
  </si>
  <si>
    <t>TOTAL</t>
  </si>
  <si>
    <t>Test Case ID/Name</t>
  </si>
  <si>
    <t>Feature</t>
  </si>
  <si>
    <t>Test Case Description</t>
  </si>
  <si>
    <t>Test Data</t>
  </si>
  <si>
    <t>Step Description</t>
  </si>
  <si>
    <t>Expected Result</t>
  </si>
  <si>
    <t>Actual</t>
  </si>
  <si>
    <t>Status</t>
  </si>
  <si>
    <t>Comments (If needed)</t>
  </si>
  <si>
    <t>TC 1</t>
  </si>
  <si>
    <t xml:space="preserve"> 'Home' button</t>
  </si>
  <si>
    <t xml:space="preserve">After click on 'Home' button, the landing page itself will be shown                                  </t>
  </si>
  <si>
    <t>Go to  URL of the 'Rad Portal' site</t>
  </si>
  <si>
    <t>It will take to the landing page of Rad Portal</t>
  </si>
  <si>
    <t>TC 2</t>
  </si>
  <si>
    <t xml:space="preserve"> 'About Us' button</t>
  </si>
  <si>
    <t xml:space="preserve">After clicking, the background information of the project will be shown on a different page </t>
  </si>
  <si>
    <t xml:space="preserve">Project's URL -&gt; About Us </t>
  </si>
  <si>
    <t>It will redirect to 'About Us' page</t>
  </si>
  <si>
    <t>TC 3</t>
  </si>
  <si>
    <t xml:space="preserve"> 'Contact Us' button</t>
  </si>
  <si>
    <t>The contact information related to the project will be shown after click on this button</t>
  </si>
  <si>
    <t xml:space="preserve">Project's URL -&gt; Contact Us </t>
  </si>
  <si>
    <t>It will redirect to 'Contact Us' page</t>
  </si>
  <si>
    <t>TC 3.1</t>
  </si>
  <si>
    <t>Name</t>
  </si>
  <si>
    <t>Customer's name who will pass the query</t>
  </si>
  <si>
    <t>Project's URL -&gt; Contact Us -&gt; Name</t>
  </si>
  <si>
    <t>Any types of input can be provided</t>
  </si>
  <si>
    <t>TC 3.2</t>
  </si>
  <si>
    <t xml:space="preserve"> Email</t>
  </si>
  <si>
    <t>Customer's email who will get the reponse on the provided email</t>
  </si>
  <si>
    <t>qa.admin@miracle.com
asd@asd.com 
asdasd
qwe12.com
Tasin2020</t>
  </si>
  <si>
    <t>Project's URL -&gt; Contact Us -&gt; Email</t>
  </si>
  <si>
    <t xml:space="preserve">Check with valid email and user name, Check with invalid user name and email (with and without '@' and dot(.) sign) , keep the field blank and observe                      </t>
  </si>
  <si>
    <t>TC 3.3</t>
  </si>
  <si>
    <t xml:space="preserve"> Text Box</t>
  </si>
  <si>
    <t>A box where customer passes the questions / query / concern etc</t>
  </si>
  <si>
    <t>Lorem ipsum …...........</t>
  </si>
  <si>
    <t>Project's URL -&gt; Contact Us -&gt; Text box</t>
  </si>
  <si>
    <t>Any types of inut are acceptable</t>
  </si>
  <si>
    <t>TC 3.4</t>
  </si>
  <si>
    <t xml:space="preserve"> 'Submit' button</t>
  </si>
  <si>
    <t>This button is used to submit the text box</t>
  </si>
  <si>
    <t>Project's URL -&gt; Contact Us -&gt; Submit</t>
  </si>
  <si>
    <t>The text box's message, email, name will be forwarded</t>
  </si>
  <si>
    <t>TC 4</t>
  </si>
  <si>
    <t xml:space="preserve"> 'Sign Up' button</t>
  </si>
  <si>
    <t>A pop up will be shown to sign up as a radiologist or a hospital</t>
  </si>
  <si>
    <t xml:space="preserve">Project's URL -&gt;  Sign Up </t>
  </si>
  <si>
    <t>Sign up as a rediologist -&gt; Sign up page for radiologist                                                                  sign up as a hospital -&gt; Sign Up page for hospital</t>
  </si>
  <si>
    <t>TC 4.1</t>
  </si>
  <si>
    <t>Sign Up for Radiologist</t>
  </si>
  <si>
    <t>Sign up page for radiologists having the required fields</t>
  </si>
  <si>
    <t>Projects URL -&gt; Sign Up -&gt; Sign Up as a radiologist</t>
  </si>
  <si>
    <t xml:space="preserve">Should have these fields: Email, Password, First Name, Last Name, Phone no           </t>
  </si>
  <si>
    <t>TC 4.1.1</t>
  </si>
  <si>
    <t>User should provide a unique valid email adderss</t>
  </si>
  <si>
    <t>Projects URL -&gt; Sign Up -&gt; Sign Up as a radiologist -&gt; Email</t>
  </si>
  <si>
    <t>TC 4.1.2</t>
  </si>
  <si>
    <t>Password</t>
  </si>
  <si>
    <t>User should provide a unique valid password not less than 6 characters</t>
  </si>
  <si>
    <t>12!qw
asdfg7
@asdfghj
1234567</t>
  </si>
  <si>
    <t>Projects URL -&gt; Sign Up -&gt; Sign Up as a radiologist -&gt; Password</t>
  </si>
  <si>
    <t>Check the password with the comnbination of 
1)Upercase, Lowercase,Character,Number
2)Only uppercase
3)Only lowercase
4)Only character
5)Only number
The password should not be less than 6 characters</t>
  </si>
  <si>
    <t>TC 4.1.3</t>
  </si>
  <si>
    <t>First Name</t>
  </si>
  <si>
    <t>Provide user's first name</t>
  </si>
  <si>
    <t>qwer
a1#W
qwer asd</t>
  </si>
  <si>
    <t>Projects URL -&gt; Sign Up -&gt; Sign Up as a radiologist -&gt; First Name</t>
  </si>
  <si>
    <t>This field should not take any number, and /or special characters</t>
  </si>
  <si>
    <t>TC 4.1.4</t>
  </si>
  <si>
    <t>Last Name</t>
  </si>
  <si>
    <t>Provide user's last name</t>
  </si>
  <si>
    <t>asdf
a1@asd</t>
  </si>
  <si>
    <t>Projects URL -&gt; Sign Up -&gt; Sign Up as a radiologist -&gt; Last Name</t>
  </si>
  <si>
    <t>TC 4.1.5</t>
  </si>
  <si>
    <t>Phone no</t>
  </si>
  <si>
    <t>Provide user's contact number</t>
  </si>
  <si>
    <t>12345677
a@123456</t>
  </si>
  <si>
    <t>Projects URL -&gt; Sign Up -&gt; Sign Up as a radiologist -&gt; Phone no</t>
  </si>
  <si>
    <t>This field should take only number. After providing the number, the system should send a OTP code to very that the number is correct</t>
  </si>
  <si>
    <t>TC 4.2</t>
  </si>
  <si>
    <t>Sign Up for Hospitals</t>
  </si>
  <si>
    <t>Projects URL -&gt; Sign Up -&gt; Sign Up as a Hospital</t>
  </si>
  <si>
    <t>Should have these fields: Email, Password, Hospital Name</t>
  </si>
  <si>
    <t>TC 4.2.1</t>
  </si>
  <si>
    <t>Hospital should provide a unique valid email adderss</t>
  </si>
  <si>
    <t>Projects URL -&gt; Sign Up -&gt; Sign Up as a Hospital -&gt; Email</t>
  </si>
  <si>
    <t>TC 4.2.2</t>
  </si>
  <si>
    <t>Hospital should provide a unique valid password not less than 6 characters</t>
  </si>
  <si>
    <t>Projects URL -&gt; Sign Up -&gt; Sign Up as a Hospital -&gt; Password</t>
  </si>
  <si>
    <t>TC 4.2.3</t>
  </si>
  <si>
    <t>Hospital Name</t>
  </si>
  <si>
    <t>Provide Hospital's name</t>
  </si>
  <si>
    <t>Projects URL -&gt; Sign Up -&gt; Sign Up as a Hospital -&gt; Hospital's name</t>
  </si>
  <si>
    <t>This field generally takes only chracters.</t>
  </si>
  <si>
    <t>TC 5</t>
  </si>
  <si>
    <t xml:space="preserve"> 'Login' button</t>
  </si>
  <si>
    <t>It will redirect to the Login page</t>
  </si>
  <si>
    <t>Project's URL -&gt; Login</t>
  </si>
  <si>
    <t>In the Login page, the following componenets will be shown
1) Username
2) Password
3) Remember me
4) Login
5) Forget Password</t>
  </si>
  <si>
    <t>TC 5.1</t>
  </si>
  <si>
    <t xml:space="preserve">Username </t>
  </si>
  <si>
    <t>Provide user's name</t>
  </si>
  <si>
    <t>Projects URL -&gt; Login -&gt; Username</t>
  </si>
  <si>
    <t>TC 5.2</t>
  </si>
  <si>
    <t>Provide user's password. It should not less than 6 characters</t>
  </si>
  <si>
    <t>Projects URL -&gt; Login -&gt; Password</t>
  </si>
  <si>
    <t>TC 5.3</t>
  </si>
  <si>
    <t>Remember me</t>
  </si>
  <si>
    <t>It is a checkbox whether a user can save username, password for next time login</t>
  </si>
  <si>
    <t>Projects URL -&gt; Login -&gt; Remember me</t>
  </si>
  <si>
    <t>Functionality of the checkbox should be worked perfectly</t>
  </si>
  <si>
    <t>TC 5.4</t>
  </si>
  <si>
    <t>Forget Password</t>
  </si>
  <si>
    <t>If it is clicked, user can provide valid email address where necessary information for renew password will be mailed</t>
  </si>
  <si>
    <t>Any valid email where a user
can check it's functionality</t>
  </si>
  <si>
    <t>Projects URL -&gt; Login -&gt; Remember me -&gt; Email</t>
  </si>
  <si>
    <t>Checking of it's functionality on the email</t>
  </si>
  <si>
    <t>TC 5.5</t>
  </si>
  <si>
    <t>Login</t>
  </si>
  <si>
    <t>It will redirect to the dashboard</t>
  </si>
  <si>
    <t>Projects URL -&gt; Login -&gt; Login</t>
  </si>
  <si>
    <t>Functionality of the 'Login' button</t>
  </si>
  <si>
    <t>TC 6</t>
  </si>
  <si>
    <t>Find Out More</t>
  </si>
  <si>
    <t>It will redirect to a page where more details of the project will be shown</t>
  </si>
  <si>
    <t>Projects URL -&gt; Find Out More</t>
  </si>
  <si>
    <t>More details of the projects will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</si>
</sst>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Calibri"/>
    </font>
    <font/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u/>
      <sz val="10.0"/>
      <color theme="10"/>
      <name val="Arial"/>
    </font>
    <font>
      <u/>
      <sz val="10.0"/>
      <color theme="1"/>
      <name val="Calibri"/>
    </font>
    <font>
      <b/>
      <sz val="10.0"/>
      <color rgb="FFFFFFFF"/>
      <name val="Calibri"/>
    </font>
    <font>
      <u/>
      <sz val="10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BDD6EE"/>
        <bgColor rgb="FFBDD6EE"/>
      </patternFill>
    </fill>
    <fill>
      <patternFill patternType="solid">
        <fgColor rgb="FFACECB4"/>
        <bgColor rgb="FFACECB4"/>
      </patternFill>
    </fill>
    <fill>
      <patternFill patternType="solid">
        <fgColor rgb="FFC5E0B3"/>
        <bgColor rgb="FFC5E0B3"/>
      </patternFill>
    </fill>
    <fill>
      <patternFill patternType="solid">
        <fgColor rgb="FFF99483"/>
        <bgColor rgb="FFF99483"/>
      </patternFill>
    </fill>
    <fill>
      <patternFill patternType="solid">
        <fgColor rgb="FFFFFF99"/>
        <bgColor rgb="FFFFFF99"/>
      </patternFill>
    </fill>
    <fill>
      <patternFill patternType="solid">
        <fgColor rgb="FFD8D8D8"/>
        <bgColor rgb="FFD8D8D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EDDEFC"/>
        <bgColor rgb="FFEDDEFC"/>
      </patternFill>
    </fill>
    <fill>
      <patternFill patternType="solid">
        <fgColor rgb="FFA5DDF1"/>
        <bgColor rgb="FFA5DDF1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12" xfId="0" applyAlignment="1" applyBorder="1" applyFill="1" applyFont="1" applyNumberForma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shrinkToFit="0" vertical="center" wrapText="1"/>
    </xf>
    <xf borderId="4" fillId="0" fontId="3" numFmtId="14" xfId="0" applyAlignment="1" applyBorder="1" applyFont="1" applyNumberFormat="1">
      <alignment shrinkToFit="0" vertical="center" wrapText="1"/>
    </xf>
    <xf borderId="4" fillId="2" fontId="4" numFmtId="0" xfId="0" applyAlignment="1" applyBorder="1" applyFont="1">
      <alignment vertical="center"/>
    </xf>
    <xf borderId="1" fillId="3" fontId="1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vertical="center"/>
    </xf>
    <xf borderId="1" fillId="2" fontId="1" numFmtId="0" xfId="0" applyAlignment="1" applyBorder="1" applyFont="1">
      <alignment shrinkToFit="0" vertical="center" wrapText="1"/>
    </xf>
    <xf borderId="5" fillId="2" fontId="4" numFmtId="0" xfId="0" applyAlignment="1" applyBorder="1" applyFont="1">
      <alignment vertical="center"/>
    </xf>
    <xf borderId="4" fillId="4" fontId="1" numFmtId="0" xfId="0" applyAlignment="1" applyBorder="1" applyFill="1" applyFont="1">
      <alignment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6" fillId="2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4" fillId="6" fontId="1" numFmtId="0" xfId="0" applyAlignment="1" applyBorder="1" applyFill="1" applyFont="1">
      <alignment shrinkToFit="0" vertical="center" wrapText="1"/>
    </xf>
    <xf borderId="6" fillId="3" fontId="1" numFmtId="0" xfId="0" applyAlignment="1" applyBorder="1" applyFont="1">
      <alignment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9" fontId="1" numFmtId="0" xfId="0" applyAlignment="1" applyBorder="1" applyFill="1" applyFont="1">
      <alignment shrinkToFit="0" vertical="center" wrapText="1"/>
    </xf>
    <xf borderId="6" fillId="9" fontId="1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vertical="center"/>
    </xf>
    <xf quotePrefix="1" borderId="8" fillId="0" fontId="5" numFmtId="0" xfId="0" applyAlignment="1" applyBorder="1" applyFont="1">
      <alignment vertical="center"/>
    </xf>
    <xf borderId="8" fillId="0" fontId="5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10" fontId="5" numFmtId="0" xfId="0" applyAlignment="1" applyBorder="1" applyFill="1" applyFont="1">
      <alignment readingOrder="0" shrinkToFit="0" vertical="center" wrapText="1"/>
    </xf>
    <xf borderId="8" fillId="0" fontId="6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4" fillId="10" fontId="5" numFmtId="0" xfId="0" applyAlignment="1" applyBorder="1" applyFont="1">
      <alignment shrinkToFit="0" vertical="center" wrapText="1"/>
    </xf>
    <xf borderId="9" fillId="11" fontId="5" numFmtId="0" xfId="0" applyAlignment="1" applyBorder="1" applyFill="1" applyFont="1">
      <alignment vertical="center"/>
    </xf>
    <xf borderId="10" fillId="12" fontId="5" numFmtId="0" xfId="0" applyAlignment="1" applyBorder="1" applyFill="1" applyFont="1">
      <alignment vertical="center"/>
    </xf>
    <xf borderId="10" fillId="12" fontId="5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vertical="center"/>
    </xf>
    <xf borderId="9" fillId="13" fontId="5" numFmtId="0" xfId="0" applyAlignment="1" applyBorder="1" applyFill="1" applyFont="1">
      <alignment vertical="center"/>
    </xf>
    <xf borderId="10" fillId="10" fontId="5" numFmtId="0" xfId="0" applyAlignment="1" applyBorder="1" applyFont="1">
      <alignment shrinkToFit="0" vertical="center" wrapText="1"/>
    </xf>
    <xf borderId="10" fillId="12" fontId="5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quotePrefix="1" borderId="8" fillId="0" fontId="5" numFmtId="0" xfId="0" applyAlignment="1" applyBorder="1" applyFont="1">
      <alignment shrinkToFit="0" vertical="center" wrapText="1"/>
    </xf>
    <xf borderId="8" fillId="10" fontId="3" numFmtId="0" xfId="0" applyAlignment="1" applyBorder="1" applyFont="1">
      <alignment shrinkToFit="0" vertical="center" wrapText="1"/>
    </xf>
    <xf borderId="9" fillId="14" fontId="5" numFmtId="0" xfId="0" applyAlignment="1" applyBorder="1" applyFill="1" applyFont="1">
      <alignment vertical="center"/>
    </xf>
    <xf borderId="4" fillId="12" fontId="5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vertical="center"/>
    </xf>
    <xf borderId="9" fillId="14" fontId="3" numFmtId="0" xfId="0" applyAlignment="1" applyBorder="1" applyFont="1">
      <alignment vertical="center"/>
    </xf>
    <xf borderId="10" fillId="12" fontId="3" numFmtId="0" xfId="0" applyAlignment="1" applyBorder="1" applyFont="1">
      <alignment vertical="center"/>
    </xf>
    <xf borderId="8" fillId="10" fontId="3" numFmtId="0" xfId="0" applyAlignment="1" applyBorder="1" applyFont="1">
      <alignment vertical="center"/>
    </xf>
    <xf borderId="4" fillId="15" fontId="5" numFmtId="0" xfId="0" applyAlignment="1" applyBorder="1" applyFill="1" applyFont="1">
      <alignment shrinkToFit="0" vertical="center" wrapText="1"/>
    </xf>
    <xf borderId="4" fillId="14" fontId="5" numFmtId="0" xfId="0" applyAlignment="1" applyBorder="1" applyFont="1">
      <alignment vertical="center"/>
    </xf>
    <xf borderId="4" fillId="12" fontId="5" numFmtId="0" xfId="0" applyAlignment="1" applyBorder="1" applyFont="1">
      <alignment vertical="center"/>
    </xf>
    <xf borderId="9" fillId="16" fontId="5" numFmtId="0" xfId="0" applyAlignment="1" applyBorder="1" applyFill="1" applyFont="1">
      <alignment vertical="center"/>
    </xf>
    <xf borderId="9" fillId="12" fontId="5" numFmtId="0" xfId="0" applyAlignment="1" applyBorder="1" applyFont="1">
      <alignment vertical="center"/>
    </xf>
    <xf borderId="4" fillId="16" fontId="5" numFmtId="0" xfId="0" applyAlignment="1" applyBorder="1" applyFont="1">
      <alignment vertical="center"/>
    </xf>
    <xf borderId="4" fillId="12" fontId="8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15" fontId="4" numFmtId="0" xfId="0" applyAlignment="1" applyBorder="1" applyFont="1">
      <alignment readingOrder="0" shrinkToFit="0" vertical="center" wrapText="1"/>
    </xf>
    <xf borderId="4" fillId="17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9" fillId="17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9" fillId="17" fontId="5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</cellXfs>
  <cellStyles count="1">
    <cellStyle xfId="0" name="Normal" builtinId="0"/>
  </cellStyles>
  <dxfs count="7"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4CCCC"/>
          <bgColor rgb="FFF4CCCC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1.88"/>
    <col customWidth="1" min="2" max="2" width="31.13"/>
    <col customWidth="1" min="3" max="3" width="27.88"/>
    <col customWidth="1" min="4" max="4" width="24.88"/>
    <col customWidth="1" min="5" max="5" width="34.88"/>
    <col customWidth="1" min="6" max="6" width="37.88"/>
    <col customWidth="1" min="7" max="7" width="28.25"/>
    <col customWidth="1" min="8" max="8" width="30.0"/>
    <col customWidth="1" min="9" max="9" width="13.75"/>
    <col customWidth="1" min="10" max="10" width="25.0"/>
    <col customWidth="1" min="11" max="27" width="14.5"/>
  </cols>
  <sheetData>
    <row r="1" ht="18.0" customHeight="1">
      <c r="A1" s="1" t="s">
        <v>0</v>
      </c>
      <c r="B1" s="2"/>
      <c r="C1" s="3"/>
      <c r="D1" s="4" t="s">
        <v>1</v>
      </c>
      <c r="E1" s="5" t="s">
        <v>2</v>
      </c>
      <c r="F1" s="6" t="s">
        <v>3</v>
      </c>
      <c r="G1" s="7" t="s">
        <v>4</v>
      </c>
      <c r="H1" s="6"/>
      <c r="I1" s="8" t="s">
        <v>5</v>
      </c>
      <c r="J1" s="3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 t="s">
        <v>6</v>
      </c>
      <c r="B2" s="2"/>
      <c r="C2" s="3"/>
      <c r="D2" s="4" t="s">
        <v>7</v>
      </c>
      <c r="E2" s="5" t="s">
        <v>8</v>
      </c>
      <c r="F2" s="6"/>
      <c r="G2" s="11" t="s">
        <v>9</v>
      </c>
      <c r="H2" s="6"/>
      <c r="I2" s="12" t="s">
        <v>10</v>
      </c>
      <c r="J2" s="13">
        <f>COUNTIF(H7:H55, "PASS")</f>
        <v>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8.0" customHeight="1">
      <c r="A3" s="10"/>
      <c r="B3" s="2"/>
      <c r="C3" s="3"/>
      <c r="D3" s="4"/>
      <c r="E3" s="14" t="s">
        <v>11</v>
      </c>
      <c r="F3" s="15" t="s">
        <v>12</v>
      </c>
      <c r="G3" s="16" t="s">
        <v>13</v>
      </c>
      <c r="H3" s="4" t="s">
        <v>14</v>
      </c>
      <c r="I3" s="17" t="s">
        <v>15</v>
      </c>
      <c r="J3" s="18">
        <f>COUNTIF(H8:H55, "Fail")</f>
        <v>24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8.0" customHeight="1">
      <c r="A4" s="10" t="s">
        <v>16</v>
      </c>
      <c r="B4" s="2"/>
      <c r="C4" s="3"/>
      <c r="D4" s="4" t="s">
        <v>17</v>
      </c>
      <c r="E4" s="14" t="s">
        <v>18</v>
      </c>
      <c r="F4" s="4" t="s">
        <v>19</v>
      </c>
      <c r="G4" s="16"/>
      <c r="H4" s="19"/>
      <c r="I4" s="12" t="s">
        <v>20</v>
      </c>
      <c r="J4" s="20">
        <f>COUNTIF(H8:H55, "WARNING")</f>
        <v>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8.0" customHeight="1">
      <c r="A5" s="21" t="s">
        <v>21</v>
      </c>
      <c r="B5" s="2"/>
      <c r="C5" s="3"/>
      <c r="D5" s="21" t="s">
        <v>12</v>
      </c>
      <c r="E5" s="2"/>
      <c r="F5" s="2"/>
      <c r="G5" s="2"/>
      <c r="H5" s="3"/>
      <c r="I5" s="22" t="s">
        <v>22</v>
      </c>
      <c r="J5" s="23">
        <f>SUM(J2:J3:J4)</f>
        <v>24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6.25" customHeight="1">
      <c r="A6" s="24" t="s">
        <v>23</v>
      </c>
      <c r="B6" s="25" t="s">
        <v>24</v>
      </c>
      <c r="C6" s="25" t="s">
        <v>25</v>
      </c>
      <c r="D6" s="25" t="s">
        <v>26</v>
      </c>
      <c r="E6" s="25" t="s">
        <v>27</v>
      </c>
      <c r="F6" s="25" t="s">
        <v>28</v>
      </c>
      <c r="G6" s="25" t="s">
        <v>29</v>
      </c>
      <c r="H6" s="25" t="s">
        <v>30</v>
      </c>
      <c r="I6" s="25" t="s">
        <v>31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60.0" customHeight="1">
      <c r="A7" s="26" t="s">
        <v>32</v>
      </c>
      <c r="B7" s="27" t="s">
        <v>33</v>
      </c>
      <c r="C7" s="28" t="s">
        <v>34</v>
      </c>
      <c r="D7" s="29" t="s">
        <v>14</v>
      </c>
      <c r="E7" s="30" t="s">
        <v>35</v>
      </c>
      <c r="F7" s="28" t="s">
        <v>36</v>
      </c>
      <c r="G7" s="30"/>
      <c r="H7" s="31" t="s">
        <v>15</v>
      </c>
      <c r="I7" s="32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26" t="s">
        <v>37</v>
      </c>
      <c r="B8" s="27" t="s">
        <v>38</v>
      </c>
      <c r="C8" s="28" t="s">
        <v>39</v>
      </c>
      <c r="D8" s="33" t="s">
        <v>14</v>
      </c>
      <c r="E8" s="30" t="s">
        <v>40</v>
      </c>
      <c r="F8" s="28" t="s">
        <v>41</v>
      </c>
      <c r="G8" s="30"/>
      <c r="H8" s="34" t="s">
        <v>15</v>
      </c>
      <c r="I8" s="3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48.0" customHeight="1">
      <c r="A9" s="35" t="s">
        <v>42</v>
      </c>
      <c r="B9" s="36" t="s">
        <v>43</v>
      </c>
      <c r="C9" s="37" t="s">
        <v>44</v>
      </c>
      <c r="D9" s="36" t="s">
        <v>14</v>
      </c>
      <c r="E9" s="37" t="s">
        <v>45</v>
      </c>
      <c r="F9" s="37" t="s">
        <v>46</v>
      </c>
      <c r="G9" s="37"/>
      <c r="H9" s="34" t="s">
        <v>15</v>
      </c>
      <c r="I9" s="3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48.0" customHeight="1">
      <c r="A10" s="39" t="s">
        <v>47</v>
      </c>
      <c r="B10" s="36" t="s">
        <v>48</v>
      </c>
      <c r="C10" s="37" t="s">
        <v>49</v>
      </c>
      <c r="D10" s="36" t="s">
        <v>14</v>
      </c>
      <c r="E10" s="37" t="s">
        <v>50</v>
      </c>
      <c r="F10" s="37" t="s">
        <v>51</v>
      </c>
      <c r="G10" s="37"/>
      <c r="H10" s="40" t="s">
        <v>15</v>
      </c>
      <c r="I10" s="3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48.0" customHeight="1">
      <c r="A11" s="39" t="s">
        <v>52</v>
      </c>
      <c r="B11" s="36" t="s">
        <v>53</v>
      </c>
      <c r="C11" s="37" t="s">
        <v>54</v>
      </c>
      <c r="D11" s="37" t="s">
        <v>55</v>
      </c>
      <c r="E11" s="37" t="s">
        <v>56</v>
      </c>
      <c r="F11" s="37" t="s">
        <v>57</v>
      </c>
      <c r="G11" s="37"/>
      <c r="H11" s="40" t="s">
        <v>15</v>
      </c>
      <c r="I11" s="3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48.0" customHeight="1">
      <c r="A12" s="39" t="s">
        <v>58</v>
      </c>
      <c r="B12" s="36" t="s">
        <v>59</v>
      </c>
      <c r="C12" s="37" t="s">
        <v>60</v>
      </c>
      <c r="D12" s="41" t="s">
        <v>61</v>
      </c>
      <c r="E12" s="37" t="s">
        <v>62</v>
      </c>
      <c r="F12" s="37" t="s">
        <v>63</v>
      </c>
      <c r="G12" s="37"/>
      <c r="H12" s="40" t="s">
        <v>15</v>
      </c>
      <c r="I12" s="3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48.0" customHeight="1">
      <c r="A13" s="39" t="s">
        <v>64</v>
      </c>
      <c r="B13" s="36" t="s">
        <v>65</v>
      </c>
      <c r="C13" s="37" t="s">
        <v>66</v>
      </c>
      <c r="D13" s="36" t="s">
        <v>14</v>
      </c>
      <c r="E13" s="37" t="s">
        <v>67</v>
      </c>
      <c r="F13" s="37" t="s">
        <v>68</v>
      </c>
      <c r="G13" s="37"/>
      <c r="H13" s="40" t="s">
        <v>15</v>
      </c>
      <c r="I13" s="3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42" t="s">
        <v>69</v>
      </c>
      <c r="B14" s="38" t="s">
        <v>70</v>
      </c>
      <c r="C14" s="28" t="s">
        <v>71</v>
      </c>
      <c r="D14" s="33" t="s">
        <v>14</v>
      </c>
      <c r="E14" s="28" t="s">
        <v>72</v>
      </c>
      <c r="F14" s="43" t="s">
        <v>73</v>
      </c>
      <c r="G14" s="28"/>
      <c r="H14" s="44" t="s">
        <v>15</v>
      </c>
      <c r="I14" s="3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45" t="s">
        <v>74</v>
      </c>
      <c r="B15" s="36" t="s">
        <v>75</v>
      </c>
      <c r="C15" s="37" t="s">
        <v>76</v>
      </c>
      <c r="D15" s="36" t="s">
        <v>14</v>
      </c>
      <c r="E15" s="46" t="s">
        <v>77</v>
      </c>
      <c r="F15" s="37" t="s">
        <v>78</v>
      </c>
      <c r="G15" s="46"/>
      <c r="H15" s="34" t="s">
        <v>15</v>
      </c>
      <c r="I15" s="47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45" t="s">
        <v>79</v>
      </c>
      <c r="B16" s="36" t="s">
        <v>53</v>
      </c>
      <c r="C16" s="37" t="s">
        <v>80</v>
      </c>
      <c r="D16" s="37" t="s">
        <v>55</v>
      </c>
      <c r="E16" s="37" t="s">
        <v>81</v>
      </c>
      <c r="F16" s="37" t="s">
        <v>57</v>
      </c>
      <c r="G16" s="46"/>
      <c r="H16" s="40" t="s">
        <v>15</v>
      </c>
      <c r="I16" s="47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48" t="s">
        <v>82</v>
      </c>
      <c r="B17" s="49" t="s">
        <v>83</v>
      </c>
      <c r="C17" s="37" t="s">
        <v>84</v>
      </c>
      <c r="D17" s="37" t="s">
        <v>85</v>
      </c>
      <c r="E17" s="37" t="s">
        <v>86</v>
      </c>
      <c r="F17" s="37" t="s">
        <v>87</v>
      </c>
      <c r="G17" s="46"/>
      <c r="H17" s="50" t="s">
        <v>15</v>
      </c>
      <c r="I17" s="3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48" t="s">
        <v>88</v>
      </c>
      <c r="B18" s="49" t="s">
        <v>89</v>
      </c>
      <c r="C18" s="37" t="s">
        <v>90</v>
      </c>
      <c r="D18" s="37" t="s">
        <v>91</v>
      </c>
      <c r="E18" s="37" t="s">
        <v>92</v>
      </c>
      <c r="F18" s="37" t="s">
        <v>93</v>
      </c>
      <c r="G18" s="46"/>
      <c r="H18" s="50" t="s">
        <v>15</v>
      </c>
      <c r="I18" s="3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45" t="s">
        <v>94</v>
      </c>
      <c r="B19" s="36" t="s">
        <v>95</v>
      </c>
      <c r="C19" s="37" t="s">
        <v>96</v>
      </c>
      <c r="D19" s="37" t="s">
        <v>97</v>
      </c>
      <c r="E19" s="46" t="s">
        <v>98</v>
      </c>
      <c r="F19" s="37" t="s">
        <v>93</v>
      </c>
      <c r="G19" s="46"/>
      <c r="H19" s="51" t="s">
        <v>15</v>
      </c>
      <c r="I19" s="47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52" t="s">
        <v>99</v>
      </c>
      <c r="B20" s="53" t="s">
        <v>100</v>
      </c>
      <c r="C20" s="46" t="s">
        <v>101</v>
      </c>
      <c r="D20" s="46" t="s">
        <v>102</v>
      </c>
      <c r="E20" s="37" t="s">
        <v>103</v>
      </c>
      <c r="F20" s="46" t="s">
        <v>104</v>
      </c>
      <c r="G20" s="46"/>
      <c r="H20" s="38" t="s">
        <v>15</v>
      </c>
      <c r="I20" s="4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54" t="s">
        <v>105</v>
      </c>
      <c r="B21" s="55" t="s">
        <v>106</v>
      </c>
      <c r="C21" s="46" t="s">
        <v>76</v>
      </c>
      <c r="D21" s="36" t="s">
        <v>14</v>
      </c>
      <c r="E21" s="37" t="s">
        <v>107</v>
      </c>
      <c r="F21" s="46" t="s">
        <v>108</v>
      </c>
      <c r="G21" s="46"/>
      <c r="H21" s="38" t="s">
        <v>15</v>
      </c>
      <c r="I21" s="4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54" t="s">
        <v>109</v>
      </c>
      <c r="B22" s="36" t="s">
        <v>53</v>
      </c>
      <c r="C22" s="37" t="s">
        <v>110</v>
      </c>
      <c r="D22" s="37" t="s">
        <v>55</v>
      </c>
      <c r="E22" s="37" t="s">
        <v>111</v>
      </c>
      <c r="F22" s="37" t="s">
        <v>57</v>
      </c>
      <c r="G22" s="46"/>
      <c r="H22" s="51" t="s">
        <v>15</v>
      </c>
      <c r="I22" s="4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56" t="s">
        <v>112</v>
      </c>
      <c r="B23" s="49" t="s">
        <v>83</v>
      </c>
      <c r="C23" s="37" t="s">
        <v>113</v>
      </c>
      <c r="D23" s="37" t="s">
        <v>85</v>
      </c>
      <c r="E23" s="37" t="s">
        <v>114</v>
      </c>
      <c r="F23" s="37" t="s">
        <v>87</v>
      </c>
      <c r="G23" s="46"/>
      <c r="H23" s="57" t="s">
        <v>15</v>
      </c>
      <c r="I23" s="5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54" t="s">
        <v>115</v>
      </c>
      <c r="B24" s="55" t="s">
        <v>116</v>
      </c>
      <c r="C24" s="46" t="s">
        <v>117</v>
      </c>
      <c r="D24" s="53" t="s">
        <v>14</v>
      </c>
      <c r="E24" s="37" t="s">
        <v>118</v>
      </c>
      <c r="F24" s="46" t="s">
        <v>119</v>
      </c>
      <c r="G24" s="46"/>
      <c r="H24" s="30" t="s">
        <v>15</v>
      </c>
      <c r="I24" s="4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26" t="s">
        <v>120</v>
      </c>
      <c r="B25" s="33" t="s">
        <v>121</v>
      </c>
      <c r="C25" s="28" t="s">
        <v>122</v>
      </c>
      <c r="D25" s="9" t="s">
        <v>14</v>
      </c>
      <c r="E25" s="30" t="s">
        <v>123</v>
      </c>
      <c r="F25" s="28" t="s">
        <v>124</v>
      </c>
      <c r="G25" s="30"/>
      <c r="H25" s="59" t="s">
        <v>15</v>
      </c>
      <c r="I25" s="5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75" customHeight="1">
      <c r="A26" s="60" t="s">
        <v>125</v>
      </c>
      <c r="B26" s="61" t="s">
        <v>126</v>
      </c>
      <c r="C26" s="30" t="s">
        <v>127</v>
      </c>
      <c r="D26" s="61" t="s">
        <v>14</v>
      </c>
      <c r="E26" s="28" t="s">
        <v>128</v>
      </c>
      <c r="F26" s="30" t="s">
        <v>119</v>
      </c>
      <c r="G26" s="30"/>
      <c r="H26" s="30" t="s">
        <v>15</v>
      </c>
      <c r="I26" s="4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129</v>
      </c>
      <c r="B27" s="28" t="s">
        <v>83</v>
      </c>
      <c r="C27" s="28" t="s">
        <v>130</v>
      </c>
      <c r="D27" s="30" t="s">
        <v>85</v>
      </c>
      <c r="E27" s="28" t="s">
        <v>131</v>
      </c>
      <c r="F27" s="28" t="s">
        <v>87</v>
      </c>
      <c r="G27" s="30"/>
      <c r="H27" s="30" t="s">
        <v>15</v>
      </c>
      <c r="I27" s="4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>
      <c r="A28" s="64" t="s">
        <v>132</v>
      </c>
      <c r="B28" s="33" t="s">
        <v>133</v>
      </c>
      <c r="C28" s="28" t="s">
        <v>134</v>
      </c>
      <c r="D28" s="9" t="s">
        <v>14</v>
      </c>
      <c r="E28" s="30" t="s">
        <v>135</v>
      </c>
      <c r="F28" s="28" t="s">
        <v>136</v>
      </c>
      <c r="G28" s="30"/>
      <c r="H28" s="51" t="s">
        <v>15</v>
      </c>
      <c r="I28" s="5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60" t="s">
        <v>137</v>
      </c>
      <c r="B29" s="61" t="s">
        <v>138</v>
      </c>
      <c r="C29" s="30" t="s">
        <v>139</v>
      </c>
      <c r="D29" s="30" t="s">
        <v>140</v>
      </c>
      <c r="E29" s="28" t="s">
        <v>141</v>
      </c>
      <c r="F29" s="30" t="s">
        <v>142</v>
      </c>
      <c r="G29" s="30"/>
      <c r="H29" s="30" t="s">
        <v>15</v>
      </c>
      <c r="I29" s="4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customHeight="1">
      <c r="A30" s="64" t="s">
        <v>143</v>
      </c>
      <c r="B30" s="33" t="s">
        <v>144</v>
      </c>
      <c r="C30" s="28" t="s">
        <v>145</v>
      </c>
      <c r="D30" s="61" t="s">
        <v>14</v>
      </c>
      <c r="E30" s="28" t="s">
        <v>146</v>
      </c>
      <c r="F30" s="28" t="s">
        <v>147</v>
      </c>
      <c r="G30" s="30"/>
      <c r="H30" s="30" t="s">
        <v>15</v>
      </c>
      <c r="I30" s="4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26" t="s">
        <v>148</v>
      </c>
      <c r="B31" s="33" t="s">
        <v>149</v>
      </c>
      <c r="C31" s="28" t="s">
        <v>150</v>
      </c>
      <c r="D31" s="65" t="s">
        <v>14</v>
      </c>
      <c r="E31" s="30" t="s">
        <v>151</v>
      </c>
      <c r="F31" s="28" t="s">
        <v>152</v>
      </c>
      <c r="G31" s="30"/>
      <c r="H31" s="51" t="s">
        <v>15</v>
      </c>
      <c r="I31" s="5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customHeight="1">
      <c r="A32" s="61"/>
      <c r="B32" s="61"/>
      <c r="C32" s="30"/>
      <c r="D32" s="61"/>
      <c r="E32" s="28"/>
      <c r="F32" s="30"/>
      <c r="G32" s="30"/>
      <c r="H32" s="30"/>
      <c r="I32" s="4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customHeight="1">
      <c r="A33" s="26"/>
      <c r="B33" s="33"/>
      <c r="C33" s="28"/>
      <c r="D33" s="61"/>
      <c r="E33" s="28"/>
      <c r="F33" s="28"/>
      <c r="G33" s="30"/>
      <c r="H33" s="30"/>
      <c r="I33" s="4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customHeight="1">
      <c r="A34" s="26"/>
      <c r="B34" s="33"/>
      <c r="C34" s="28"/>
      <c r="D34" s="65"/>
      <c r="E34" s="30"/>
      <c r="F34" s="28"/>
      <c r="G34" s="30"/>
      <c r="H34" s="51"/>
      <c r="I34" s="58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customHeight="1">
      <c r="A35" s="61"/>
      <c r="B35" s="61"/>
      <c r="C35" s="30"/>
      <c r="D35" s="61"/>
      <c r="E35" s="28"/>
      <c r="F35" s="30"/>
      <c r="G35" s="30"/>
      <c r="H35" s="30"/>
      <c r="I35" s="4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customHeight="1">
      <c r="A36" s="26"/>
      <c r="B36" s="33"/>
      <c r="C36" s="28"/>
      <c r="D36" s="61"/>
      <c r="E36" s="28"/>
      <c r="F36" s="28"/>
      <c r="G36" s="30"/>
      <c r="H36" s="30"/>
      <c r="I36" s="4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customHeight="1">
      <c r="A37" s="26"/>
      <c r="B37" s="33"/>
      <c r="C37" s="28"/>
      <c r="D37" s="65"/>
      <c r="E37" s="30"/>
      <c r="F37" s="28"/>
      <c r="G37" s="30"/>
      <c r="H37" s="51"/>
      <c r="I37" s="5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customHeight="1">
      <c r="A38" s="61"/>
      <c r="B38" s="61"/>
      <c r="C38" s="30"/>
      <c r="D38" s="61"/>
      <c r="E38" s="28"/>
      <c r="F38" s="30"/>
      <c r="G38" s="30"/>
      <c r="H38" s="30"/>
      <c r="I38" s="4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customHeight="1">
      <c r="A39" s="26"/>
      <c r="B39" s="33"/>
      <c r="C39" s="28"/>
      <c r="D39" s="61"/>
      <c r="E39" s="28"/>
      <c r="F39" s="28"/>
      <c r="G39" s="30"/>
      <c r="H39" s="30"/>
      <c r="I39" s="4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customHeight="1">
      <c r="A40" s="26"/>
      <c r="B40" s="33"/>
      <c r="C40" s="28"/>
      <c r="D40" s="65"/>
      <c r="E40" s="30"/>
      <c r="F40" s="28"/>
      <c r="G40" s="30"/>
      <c r="H40" s="51"/>
      <c r="I40" s="5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customHeight="1">
      <c r="A41" s="61"/>
      <c r="B41" s="61"/>
      <c r="C41" s="30"/>
      <c r="D41" s="61"/>
      <c r="E41" s="28"/>
      <c r="F41" s="30"/>
      <c r="G41" s="30"/>
      <c r="H41" s="30"/>
      <c r="I41" s="4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30.75" customHeight="1">
      <c r="A42" s="26"/>
      <c r="B42" s="33"/>
      <c r="C42" s="28"/>
      <c r="D42" s="61"/>
      <c r="E42" s="28"/>
      <c r="F42" s="28"/>
      <c r="G42" s="30"/>
      <c r="H42" s="30"/>
      <c r="I42" s="4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>
      <c r="A43" s="26"/>
      <c r="B43" s="33"/>
      <c r="C43" s="28"/>
      <c r="D43" s="65"/>
      <c r="E43" s="30"/>
      <c r="F43" s="28"/>
      <c r="G43" s="30"/>
      <c r="H43" s="51"/>
      <c r="I43" s="58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customHeight="1">
      <c r="A44" s="61"/>
      <c r="B44" s="61"/>
      <c r="C44" s="30"/>
      <c r="D44" s="61"/>
      <c r="E44" s="28"/>
      <c r="F44" s="30"/>
      <c r="G44" s="30"/>
      <c r="H44" s="30"/>
      <c r="I44" s="4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30.75" customHeight="1">
      <c r="A45" s="26"/>
      <c r="B45" s="33"/>
      <c r="C45" s="28"/>
      <c r="D45" s="61"/>
      <c r="E45" s="28"/>
      <c r="F45" s="28"/>
      <c r="G45" s="30"/>
      <c r="H45" s="30"/>
      <c r="I45" s="4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customHeight="1">
      <c r="A46" s="26"/>
      <c r="B46" s="33"/>
      <c r="C46" s="28"/>
      <c r="D46" s="65"/>
      <c r="E46" s="30"/>
      <c r="F46" s="28"/>
      <c r="G46" s="30"/>
      <c r="H46" s="51"/>
      <c r="I46" s="5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customHeight="1">
      <c r="A47" s="61"/>
      <c r="B47" s="61"/>
      <c r="C47" s="30"/>
      <c r="D47" s="30"/>
      <c r="E47" s="28"/>
      <c r="F47" s="30"/>
      <c r="G47" s="30"/>
      <c r="H47" s="30"/>
      <c r="I47" s="4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31.5" customHeight="1">
      <c r="A48" s="26"/>
      <c r="B48" s="33"/>
      <c r="C48" s="28"/>
      <c r="D48" s="61"/>
      <c r="E48" s="28"/>
      <c r="F48" s="28"/>
      <c r="G48" s="30"/>
      <c r="H48" s="30"/>
      <c r="I48" s="4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26"/>
      <c r="B49" s="33"/>
      <c r="C49" s="28"/>
      <c r="D49" s="65"/>
      <c r="E49" s="30"/>
      <c r="F49" s="28"/>
      <c r="G49" s="30"/>
      <c r="H49" s="51"/>
      <c r="I49" s="5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customHeight="1">
      <c r="A50" s="61"/>
      <c r="B50" s="61"/>
      <c r="C50" s="30"/>
      <c r="D50" s="61"/>
      <c r="E50" s="28"/>
      <c r="F50" s="30"/>
      <c r="G50" s="30"/>
      <c r="H50" s="30"/>
      <c r="I50" s="4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37.5" customHeight="1">
      <c r="A51" s="26"/>
      <c r="B51" s="33"/>
      <c r="C51" s="28"/>
      <c r="D51" s="61"/>
      <c r="E51" s="28"/>
      <c r="F51" s="28"/>
      <c r="G51" s="30"/>
      <c r="H51" s="30"/>
      <c r="I51" s="4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customHeight="1">
      <c r="A52" s="26"/>
      <c r="B52" s="33"/>
      <c r="C52" s="28"/>
      <c r="D52" s="65"/>
      <c r="E52" s="30"/>
      <c r="F52" s="28"/>
      <c r="G52" s="30"/>
      <c r="H52" s="51"/>
      <c r="I52" s="58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customHeight="1">
      <c r="A53" s="61"/>
      <c r="B53" s="61"/>
      <c r="C53" s="30"/>
      <c r="D53" s="61"/>
      <c r="E53" s="28"/>
      <c r="F53" s="30"/>
      <c r="G53" s="30"/>
      <c r="H53" s="30"/>
      <c r="I53" s="4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>
      <c r="A54" s="26"/>
      <c r="B54" s="33"/>
      <c r="C54" s="28"/>
      <c r="D54" s="61"/>
      <c r="E54" s="28"/>
      <c r="F54" s="28"/>
      <c r="G54" s="30"/>
      <c r="H54" s="30"/>
      <c r="I54" s="4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38.25" customHeight="1">
      <c r="A55" s="26"/>
      <c r="B55" s="33"/>
      <c r="C55" s="28"/>
      <c r="D55" s="61"/>
      <c r="E55" s="28"/>
      <c r="F55" s="28"/>
      <c r="G55" s="30"/>
      <c r="H55" s="30"/>
      <c r="I55" s="4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30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ht="15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ht="15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</sheetData>
  <mergeCells count="7">
    <mergeCell ref="A1:C1"/>
    <mergeCell ref="I1:J1"/>
    <mergeCell ref="A2:C2"/>
    <mergeCell ref="A3:C3"/>
    <mergeCell ref="A4:C4"/>
    <mergeCell ref="A5:C5"/>
    <mergeCell ref="D5:H5"/>
  </mergeCells>
  <conditionalFormatting sqref="H8:H13 H15:H16 H19 H22 H28">
    <cfRule type="cellIs" dxfId="0" priority="1" operator="equal">
      <formula>"PASS"</formula>
    </cfRule>
  </conditionalFormatting>
  <conditionalFormatting sqref="H8:H13 H15:H16 H19 H22 H28">
    <cfRule type="cellIs" dxfId="1" priority="2" operator="equal">
      <formula>"WARNING"</formula>
    </cfRule>
  </conditionalFormatting>
  <conditionalFormatting sqref="H8:H13 H15:H16 H19 H22 H28">
    <cfRule type="containsBlanks" dxfId="2" priority="3">
      <formula>LEN(TRIM(H8))=0</formula>
    </cfRule>
  </conditionalFormatting>
  <conditionalFormatting sqref="H31">
    <cfRule type="cellIs" dxfId="0" priority="4" operator="equal">
      <formula>"PASS"</formula>
    </cfRule>
  </conditionalFormatting>
  <conditionalFormatting sqref="H31">
    <cfRule type="cellIs" dxfId="1" priority="5" operator="equal">
      <formula>"WARNING"</formula>
    </cfRule>
  </conditionalFormatting>
  <conditionalFormatting sqref="H31">
    <cfRule type="containsBlanks" dxfId="2" priority="6">
      <formula>LEN(TRIM(H31))=0</formula>
    </cfRule>
  </conditionalFormatting>
  <conditionalFormatting sqref="H34">
    <cfRule type="cellIs" dxfId="3" priority="7" operator="equal">
      <formula>"FAIL"</formula>
    </cfRule>
  </conditionalFormatting>
  <conditionalFormatting sqref="H34">
    <cfRule type="cellIs" dxfId="0" priority="8" operator="equal">
      <formula>"PASS"</formula>
    </cfRule>
  </conditionalFormatting>
  <conditionalFormatting sqref="H34">
    <cfRule type="cellIs" dxfId="1" priority="9" operator="equal">
      <formula>"WARNING"</formula>
    </cfRule>
  </conditionalFormatting>
  <conditionalFormatting sqref="H34">
    <cfRule type="containsBlanks" dxfId="2" priority="10">
      <formula>LEN(TRIM(H34))=0</formula>
    </cfRule>
  </conditionalFormatting>
  <conditionalFormatting sqref="H40">
    <cfRule type="cellIs" dxfId="3" priority="11" operator="equal">
      <formula>"FAIL"</formula>
    </cfRule>
  </conditionalFormatting>
  <conditionalFormatting sqref="H40">
    <cfRule type="cellIs" dxfId="0" priority="12" operator="equal">
      <formula>"PASS"</formula>
    </cfRule>
  </conditionalFormatting>
  <conditionalFormatting sqref="H40">
    <cfRule type="cellIs" dxfId="1" priority="13" operator="equal">
      <formula>"WARNING"</formula>
    </cfRule>
  </conditionalFormatting>
  <conditionalFormatting sqref="H40">
    <cfRule type="containsBlanks" dxfId="2" priority="14">
      <formula>LEN(TRIM(H40))=0</formula>
    </cfRule>
  </conditionalFormatting>
  <conditionalFormatting sqref="H43">
    <cfRule type="cellIs" dxfId="3" priority="15" operator="equal">
      <formula>"FAIL"</formula>
    </cfRule>
  </conditionalFormatting>
  <conditionalFormatting sqref="H43">
    <cfRule type="cellIs" dxfId="0" priority="16" operator="equal">
      <formula>"PASS"</formula>
    </cfRule>
  </conditionalFormatting>
  <conditionalFormatting sqref="H43">
    <cfRule type="cellIs" dxfId="1" priority="17" operator="equal">
      <formula>"WARNING"</formula>
    </cfRule>
  </conditionalFormatting>
  <conditionalFormatting sqref="H43">
    <cfRule type="containsBlanks" dxfId="2" priority="18">
      <formula>LEN(TRIM(H43))=0</formula>
    </cfRule>
  </conditionalFormatting>
  <conditionalFormatting sqref="H46">
    <cfRule type="cellIs" dxfId="3" priority="19" operator="equal">
      <formula>"FAIL"</formula>
    </cfRule>
  </conditionalFormatting>
  <conditionalFormatting sqref="H46">
    <cfRule type="cellIs" dxfId="0" priority="20" operator="equal">
      <formula>"PASS"</formula>
    </cfRule>
  </conditionalFormatting>
  <conditionalFormatting sqref="H46">
    <cfRule type="cellIs" dxfId="1" priority="21" operator="equal">
      <formula>"WARNING"</formula>
    </cfRule>
  </conditionalFormatting>
  <conditionalFormatting sqref="H46">
    <cfRule type="containsBlanks" dxfId="2" priority="22">
      <formula>LEN(TRIM(H46))=0</formula>
    </cfRule>
  </conditionalFormatting>
  <conditionalFormatting sqref="J2">
    <cfRule type="cellIs" dxfId="3" priority="23" operator="equal">
      <formula>"FAIL"</formula>
    </cfRule>
  </conditionalFormatting>
  <conditionalFormatting sqref="J2">
    <cfRule type="cellIs" dxfId="0" priority="24" operator="equal">
      <formula>"PASS"</formula>
    </cfRule>
  </conditionalFormatting>
  <conditionalFormatting sqref="J2">
    <cfRule type="cellIs" dxfId="1" priority="25" operator="equal">
      <formula>"WARNING"</formula>
    </cfRule>
  </conditionalFormatting>
  <conditionalFormatting sqref="J2">
    <cfRule type="containsBlanks" dxfId="2" priority="26">
      <formula>LEN(TRIM(J2))=0</formula>
    </cfRule>
  </conditionalFormatting>
  <conditionalFormatting sqref="J3">
    <cfRule type="cellIs" dxfId="3" priority="27" operator="equal">
      <formula>"FAIL"</formula>
    </cfRule>
  </conditionalFormatting>
  <conditionalFormatting sqref="J3">
    <cfRule type="cellIs" dxfId="0" priority="28" operator="equal">
      <formula>"PASS"</formula>
    </cfRule>
  </conditionalFormatting>
  <conditionalFormatting sqref="J3">
    <cfRule type="cellIs" dxfId="1" priority="29" operator="equal">
      <formula>"WARNING"</formula>
    </cfRule>
  </conditionalFormatting>
  <conditionalFormatting sqref="J3">
    <cfRule type="containsBlanks" dxfId="2" priority="30">
      <formula>LEN(TRIM(J3))=0</formula>
    </cfRule>
  </conditionalFormatting>
  <conditionalFormatting sqref="H7">
    <cfRule type="cellIs" dxfId="0" priority="31" operator="equal">
      <formula>"PASS"</formula>
    </cfRule>
  </conditionalFormatting>
  <conditionalFormatting sqref="H7">
    <cfRule type="cellIs" dxfId="1" priority="32" operator="equal">
      <formula>"WARNING"</formula>
    </cfRule>
  </conditionalFormatting>
  <conditionalFormatting sqref="H7">
    <cfRule type="containsBlanks" dxfId="2" priority="33">
      <formula>LEN(TRIM(H7))=0</formula>
    </cfRule>
  </conditionalFormatting>
  <conditionalFormatting sqref="H25">
    <cfRule type="cellIs" dxfId="0" priority="34" operator="equal">
      <formula>"PASS"</formula>
    </cfRule>
  </conditionalFormatting>
  <conditionalFormatting sqref="H25">
    <cfRule type="cellIs" dxfId="1" priority="35" operator="equal">
      <formula>"WARNING"</formula>
    </cfRule>
  </conditionalFormatting>
  <conditionalFormatting sqref="H37">
    <cfRule type="cellIs" dxfId="3" priority="36" operator="equal">
      <formula>"FAIL"</formula>
    </cfRule>
  </conditionalFormatting>
  <conditionalFormatting sqref="H37">
    <cfRule type="cellIs" dxfId="0" priority="37" operator="equal">
      <formula>"PASS"</formula>
    </cfRule>
  </conditionalFormatting>
  <conditionalFormatting sqref="H37">
    <cfRule type="cellIs" dxfId="1" priority="38" operator="equal">
      <formula>"WARNING"</formula>
    </cfRule>
  </conditionalFormatting>
  <conditionalFormatting sqref="H37">
    <cfRule type="containsBlanks" dxfId="2" priority="39">
      <formula>LEN(TRIM(H37))=0</formula>
    </cfRule>
  </conditionalFormatting>
  <conditionalFormatting sqref="H49">
    <cfRule type="cellIs" dxfId="3" priority="40" operator="equal">
      <formula>"FAIL"</formula>
    </cfRule>
  </conditionalFormatting>
  <conditionalFormatting sqref="H49">
    <cfRule type="cellIs" dxfId="0" priority="41" operator="equal">
      <formula>"PASS"</formula>
    </cfRule>
  </conditionalFormatting>
  <conditionalFormatting sqref="H49">
    <cfRule type="cellIs" dxfId="1" priority="42" operator="equal">
      <formula>"WARNING"</formula>
    </cfRule>
  </conditionalFormatting>
  <conditionalFormatting sqref="H49">
    <cfRule type="containsBlanks" dxfId="2" priority="43">
      <formula>LEN(TRIM(H49))=0</formula>
    </cfRule>
  </conditionalFormatting>
  <conditionalFormatting sqref="H52">
    <cfRule type="cellIs" dxfId="3" priority="44" operator="equal">
      <formula>"FAIL"</formula>
    </cfRule>
  </conditionalFormatting>
  <conditionalFormatting sqref="H52">
    <cfRule type="cellIs" dxfId="0" priority="45" operator="equal">
      <formula>"PASS"</formula>
    </cfRule>
  </conditionalFormatting>
  <conditionalFormatting sqref="H52">
    <cfRule type="cellIs" dxfId="1" priority="46" operator="equal">
      <formula>"WARNING"</formula>
    </cfRule>
  </conditionalFormatting>
  <conditionalFormatting sqref="H52">
    <cfRule type="containsBlanks" dxfId="2" priority="47">
      <formula>LEN(TRIM(H52))=0</formula>
    </cfRule>
  </conditionalFormatting>
  <conditionalFormatting sqref="H7:H55">
    <cfRule type="containsText" dxfId="4" priority="48" operator="containsText" text="FAIL">
      <formula>NOT(ISERROR(SEARCH(("FAIL"),(H7))))</formula>
    </cfRule>
  </conditionalFormatting>
  <conditionalFormatting sqref="H7:H55">
    <cfRule type="containsText" dxfId="5" priority="49" operator="containsText" text="WARNING">
      <formula>NOT(ISERROR(SEARCH(("WARNING"),(H7))))</formula>
    </cfRule>
  </conditionalFormatting>
  <conditionalFormatting sqref="H7:H55">
    <cfRule type="containsText" dxfId="6" priority="50" operator="containsText" text="PASS">
      <formula>NOT(ISERROR(SEARCH(("PASS"),(H7))))</formula>
    </cfRule>
  </conditionalFormatting>
  <dataValidations>
    <dataValidation type="list" allowBlank="1" showInputMessage="1" showErrorMessage="1" prompt="Click and enter a value from the list of items" sqref="H7:H55">
      <formula1>"PASS,FAIL,WARNING"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2020-08-07T08:33:33Z</dcterms:created>
</cp:coreProperties>
</file>