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s\Downloads\"/>
    </mc:Choice>
  </mc:AlternateContent>
  <xr:revisionPtr revIDLastSave="0" documentId="13_ncr:1_{C9A21994-8661-4AA9-8E3A-22BA5442E7B9}" xr6:coauthVersionLast="44" xr6:coauthVersionMax="44" xr10:uidLastSave="{00000000-0000-0000-0000-000000000000}"/>
  <bookViews>
    <workbookView xWindow="-120" yWindow="-120" windowWidth="29040" windowHeight="15840" xr2:uid="{36569CB8-3854-481F-82D0-80097AAFEF51}"/>
  </bookViews>
  <sheets>
    <sheet name="Chargable Items_SERVE" sheetId="1" r:id="rId1"/>
    <sheet name="Chargable Items_RIS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18" i="3" l="1"/>
  <c r="E6" i="3" l="1"/>
</calcChain>
</file>

<file path=xl/sharedStrings.xml><?xml version="1.0" encoding="utf-8"?>
<sst xmlns="http://schemas.openxmlformats.org/spreadsheetml/2006/main" count="1303" uniqueCount="1280">
  <si>
    <t>ITEM CODE</t>
  </si>
  <si>
    <t>ITEM NAME</t>
  </si>
  <si>
    <t>ITE BARCODE</t>
  </si>
  <si>
    <t>VAT RATE</t>
  </si>
  <si>
    <t>RATE</t>
  </si>
  <si>
    <t>QTY</t>
  </si>
  <si>
    <t>KKU</t>
  </si>
  <si>
    <r>
      <rPr>
        <b/>
        <sz val="10"/>
        <rFont val="Arial"/>
        <family val="2"/>
      </rPr>
      <t>Blood transfusion</t>
    </r>
    <r>
      <rPr>
        <sz val="10"/>
        <rFont val="Arial"/>
        <family val="2"/>
      </rPr>
      <t xml:space="preserve"> (รวมค่าตรวจเลือด donor, ค่าอุปกรณ์เก็บเลือดและอุปกรณ์ให้เลือด / ไม่รวมค่า x-matching)</t>
    </r>
  </si>
  <si>
    <t>หัตถการ</t>
  </si>
  <si>
    <t>ใบรับรองการตรวจสุขภาพ</t>
  </si>
  <si>
    <t>ค่าบริการอื่นๆที่ไม่ได้ระบุในประกาศให้อยู่ในดุลยพินิจของสัตวแพทย์</t>
  </si>
  <si>
    <t>1.1 การวางยาสลบทั้งตัว (ค่ายาซึม+ยาสลบ+ท่อช่วยหายใจ+สารน้ำ)</t>
  </si>
  <si>
    <t>* กรณีใช้ Zoletil® คิดค่ายาสลบแยก 350 บาท/ซีซี (คิดตามปริมาณที่ใช้จริง)</t>
  </si>
  <si>
    <t>* กรณีใช้ Alfaxalone คิดค่ายาสลบแยก 200 บาท/ซีซี (คิดตามปริมาณที่ใช้จริง)</t>
  </si>
  <si>
    <t xml:space="preserve">1.2 ค่าบริการ การคงภาวะสลบด้วยก๊าซ Isoflurane </t>
  </si>
  <si>
    <t>กรณีคงการสลบและใช้เครื่องช่วยหายใจ (ventilator) คิดค่าใช้จ่ายเพิ่ม 200-1,000 บาท</t>
  </si>
  <si>
    <t>1.3 การทำให้หมดความรู้สึกเฉพาะที่</t>
  </si>
  <si>
    <t>ศัลยกรรมผิวหนัง (ไม่รวมค่าวางยาสลบ)</t>
  </si>
  <si>
    <t>ศัลยกรรมช่องปาก/ลำคอ (ไม่รวมค่าวางยาสลบ)</t>
  </si>
  <si>
    <t>ศัลยกรรมส่วนหู (ไม่รวมค่าวางยาสลบ)</t>
  </si>
  <si>
    <t>ศัลยกรรมตา (ไม่รวมค่าวางยาสลบ)</t>
  </si>
  <si>
    <t>ศัลยกรรมจมูกและหลอดลม (ไม่รวมค่าวางยาสลบ)</t>
  </si>
  <si>
    <t>ศัลยกรรมช่องอก (ไม่รวมค่าวางยาสลบ)</t>
  </si>
  <si>
    <t>ศัลยกรรมช่องท้อง (ไม่รวมค่าวางยาสลบ)</t>
  </si>
  <si>
    <t>ทำหมัน [* ค่าบริการทำหมัน คิดอัตราเหมารวมทั้งค่าวางยาสลบ ไหมเย็บ 1 ซอง และยาปฏิชีวนะพื้นฐาน  1 สัปดาห์]</t>
  </si>
  <si>
    <t>ระบบสืบพันธุ์ (ไม่รวมค่าวางยาสลบ)</t>
  </si>
  <si>
    <t>ทำหมันในกรณีมดลูกหรือรังไข่ผิดปกติ เช่น Ovarian remnant, pyometra, stump pyometra, fetal death เป็นต้น</t>
  </si>
  <si>
    <t>ผ่าตัดช่วยคลอด (Cesarean section, Spayed cesarean)</t>
  </si>
  <si>
    <t>หาง  (ไม่รวมค่าวางยาสลบ)</t>
  </si>
  <si>
    <t>ทันตกรรมสัตว์เล็ก  (ไม่รวมค่าวางยาสลบ)</t>
  </si>
  <si>
    <t>indeed</t>
  </si>
  <si>
    <t>ศัลยกรรมออร์โธปิดิกส์ (ไม่รวมค่าวางยาสลบ)</t>
  </si>
  <si>
    <t>ค่าบริการทางรังสีวินิจฉัยทางสัตวแพทย์ (ไม่รวมค่าวางยาสงบประสาท)</t>
  </si>
  <si>
    <t xml:space="preserve">                                          น้ำหนัก 10-20 kg</t>
  </si>
  <si>
    <t xml:space="preserve">                                          น้ำหนัก &gt;20 kg</t>
  </si>
  <si>
    <t>ITEM_BARCODE</t>
  </si>
  <si>
    <t>REPORT HEADER</t>
  </si>
  <si>
    <t>EXAM TYPE</t>
  </si>
  <si>
    <t>Radiographs</t>
  </si>
  <si>
    <t>Skull Right Lateral</t>
  </si>
  <si>
    <t>Skull Leftt Lateral</t>
  </si>
  <si>
    <t>Skull VD</t>
  </si>
  <si>
    <t>Skull DV</t>
  </si>
  <si>
    <t>Mandible Right Lateral</t>
  </si>
  <si>
    <t>Mandible Left Lateral</t>
  </si>
  <si>
    <t>Mandible VD</t>
  </si>
  <si>
    <t>Mandible DV</t>
  </si>
  <si>
    <t>Frontal Right Lateral</t>
  </si>
  <si>
    <t>Frontal Left Lateral</t>
  </si>
  <si>
    <t>Frontal VD</t>
  </si>
  <si>
    <t>Frontal DV</t>
  </si>
  <si>
    <t>Neck Right Lateral</t>
  </si>
  <si>
    <t>Neck Left Lateral</t>
  </si>
  <si>
    <t>Neck VD</t>
  </si>
  <si>
    <t>Neck DV</t>
  </si>
  <si>
    <t>Thorax Right Lateral Standing</t>
  </si>
  <si>
    <t>Thorax Left Lateral Standing</t>
  </si>
  <si>
    <t>Thorax Right Lateral</t>
  </si>
  <si>
    <t>Thorax Left Lateral</t>
  </si>
  <si>
    <t>Thorax VD</t>
  </si>
  <si>
    <t>Thorax DV</t>
  </si>
  <si>
    <t>Abdomen Right Lateral</t>
  </si>
  <si>
    <t>Abdomen Left Lateral</t>
  </si>
  <si>
    <t>Abdomen VD</t>
  </si>
  <si>
    <t>Abdomen DV</t>
  </si>
  <si>
    <t>Forelimb Right Lateral</t>
  </si>
  <si>
    <t>Forelimb Left Lateral</t>
  </si>
  <si>
    <t>Forelimb CC</t>
  </si>
  <si>
    <t>Elbow Right Lateral</t>
  </si>
  <si>
    <t>Elbow Left Lateral</t>
  </si>
  <si>
    <t>Elbow CC</t>
  </si>
  <si>
    <t>Carpal Right Lateral</t>
  </si>
  <si>
    <t>Carpal Left Lateral</t>
  </si>
  <si>
    <t>Carpal CC</t>
  </si>
  <si>
    <t xml:space="preserve">Hip Right Lateral </t>
  </si>
  <si>
    <t xml:space="preserve">Hip Left Lateral </t>
  </si>
  <si>
    <t>Hip VD</t>
  </si>
  <si>
    <t>Hip VD Frog</t>
  </si>
  <si>
    <t xml:space="preserve">Pelvic Right Lateral </t>
  </si>
  <si>
    <t xml:space="preserve">Pelvic Left Lateral </t>
  </si>
  <si>
    <t>Pelvic VD</t>
  </si>
  <si>
    <t>Hindlimb Right Lateral</t>
  </si>
  <si>
    <t>Hindlimb Left Lateral</t>
  </si>
  <si>
    <t>Hindlimb CC</t>
  </si>
  <si>
    <t>Knee Right Lateral</t>
  </si>
  <si>
    <t>Knee Left Lateral</t>
  </si>
  <si>
    <t>Knee CC</t>
  </si>
  <si>
    <t>Tarsal Right Lateral</t>
  </si>
  <si>
    <t>Tarsal Left Lateral</t>
  </si>
  <si>
    <t>Tarsal CC</t>
  </si>
  <si>
    <t>Cervical Vertebral Lateral</t>
  </si>
  <si>
    <t>Cervical Vertebral VD</t>
  </si>
  <si>
    <t>Cervico-thoracic Vertebral Lateral</t>
  </si>
  <si>
    <t>Cervico-thoracic Vertebral VD</t>
  </si>
  <si>
    <t>Thoracic Vertebral Lateral</t>
  </si>
  <si>
    <t>Thoracic Vertebral VD</t>
  </si>
  <si>
    <t>Thoraco-lumbar Vertebral Lateral</t>
  </si>
  <si>
    <t>Thoraco-lumbar Vertebral VD</t>
  </si>
  <si>
    <t>Lumbar Vertebral Lateral</t>
  </si>
  <si>
    <t>Lumbar Vertebral VD</t>
  </si>
  <si>
    <t>Lumbo-sacral Vertebral Lateral</t>
  </si>
  <si>
    <t>Lumbo-sacral Vertebral VD</t>
  </si>
  <si>
    <t>Coccygeal Vertebral Lateral</t>
  </si>
  <si>
    <t>Coccygeal Vertebral VD</t>
  </si>
  <si>
    <t>Thoracic Fluoroscopy</t>
  </si>
  <si>
    <t>Abdominal Fluoroscopy</t>
  </si>
  <si>
    <t>Head Fluoroscopy</t>
  </si>
  <si>
    <t>Right Forelimb Fluoroscopy</t>
  </si>
  <si>
    <t>Left Forelimb Fluoroscopy</t>
  </si>
  <si>
    <t>Right Highlimb Fluoroscopy</t>
  </si>
  <si>
    <t>Left Highlimb Fluoroscopy</t>
  </si>
  <si>
    <t>Positive contrast Cystography</t>
  </si>
  <si>
    <t>Negative contrast Cystography</t>
  </si>
  <si>
    <t>Double contrast Cystography</t>
  </si>
  <si>
    <t>Positive contrast Uroography</t>
  </si>
  <si>
    <t>Barrium swallow</t>
  </si>
  <si>
    <t>Barrium enema</t>
  </si>
  <si>
    <t>Myelography</t>
  </si>
  <si>
    <t>Endoscopy: ไม่รวมค่าวางยาสลบ</t>
  </si>
  <si>
    <t>Endoscopy และนำสิ่งแปลกปลอมออกจากหลอดอาหาร</t>
  </si>
  <si>
    <t>Ultrasonograph</t>
  </si>
  <si>
    <t>US Echocardiography</t>
  </si>
  <si>
    <t>Echocardiography</t>
  </si>
  <si>
    <t xml:space="preserve">Abdominal Ultrasonography Screening </t>
  </si>
  <si>
    <t xml:space="preserve">Liver Ultrasonography </t>
  </si>
  <si>
    <t xml:space="preserve">Kidney Ultrasonography </t>
  </si>
  <si>
    <t xml:space="preserve">Spleen Ultrasonography </t>
  </si>
  <si>
    <t xml:space="preserve">Gastrointestinal Ultrasonography </t>
  </si>
  <si>
    <t xml:space="preserve">Bladder Ultrasonography </t>
  </si>
  <si>
    <t>Genital ultrasonography</t>
  </si>
  <si>
    <t>Fetal ultrasonography</t>
  </si>
  <si>
    <t>Other/ on reqest</t>
  </si>
  <si>
    <t>Computed tomography</t>
  </si>
  <si>
    <t>CT กรณีไม่ฉีดสารทึบรังสี น้ำหนัก &lt; 10 kg</t>
  </si>
  <si>
    <t>CT กรณีไม่ฉีดสารทึบรังสี น้ำหนัก 10-20 kg</t>
  </si>
  <si>
    <t>กรณีฉีดสารทึบรังสี      น้ำหนัก &lt; 10 kg</t>
  </si>
  <si>
    <t>การ</t>
  </si>
  <si>
    <t xml:space="preserve">CT scan (การตรวจเอกซเรย์คอมพิวเตอร์)  : </t>
  </si>
  <si>
    <t>CPR  (การกู้ชีพ)  (ไม่รวมค่ายาและวัสดุสิ้นเปลือง)</t>
  </si>
  <si>
    <t>Gastric lavage (การล้างท้อง)</t>
  </si>
  <si>
    <t>ใบรับรองการตรวจรักษา</t>
  </si>
  <si>
    <r>
      <t xml:space="preserve">Soft tissue surgery (ศัลยกรรมเนื้อเยื่ออ่อน)  (อัตราค่าบริการที่ประเมินนี้ </t>
    </r>
    <r>
      <rPr>
        <b/>
        <u/>
        <sz val="10"/>
        <rFont val="Arial"/>
        <family val="2"/>
      </rPr>
      <t>ไม่รวมค่าวางยาสลบ</t>
    </r>
    <r>
      <rPr>
        <b/>
        <sz val="10"/>
        <rFont val="Arial"/>
        <family val="2"/>
      </rPr>
      <t>)</t>
    </r>
  </si>
  <si>
    <t xml:space="preserve">ให้น้ำเกลือใต้ผิวหนัง (รวมค่าน้ำเกลือ/ไม่รวมค่าธรรมเนียม) 50-200 ml    (50)  </t>
  </si>
  <si>
    <t xml:space="preserve">ให้น้ำเกลือใต้ผิวหนัง (รวมค่าน้ำเกลือ/ไม่รวมค่าธรรมเนียม) 200-500 ml    (80)  </t>
  </si>
  <si>
    <t xml:space="preserve">ให้น้ำเกลือใต้ผิวหนัง (รวมค่าน้ำเกลือ/ไม่รวมค่าธรรมเนียม) 500-1000 ml    (100)  </t>
  </si>
  <si>
    <t xml:space="preserve">ให้น้ำเกลือเข้าเส้นเลือด (สารน้ำ 100 ml+ IV set+ IV cath)    (100)  </t>
  </si>
  <si>
    <t xml:space="preserve">ให้น้ำเกลือเข้าเส้นเลือด (สารน้ำ 500 ml+ IV set+ IV cath)    (120)  </t>
  </si>
  <si>
    <t xml:space="preserve">ให้น้ำเกลือเข้าเส้นเลือด (สารน้ำ 1,000 ml+ IV set+ IV cath)    (150)  </t>
  </si>
  <si>
    <t xml:space="preserve">ให้น้ำเกลือเข้าเส้นเลือด (สารน้ำ 100 ml+ IV set+ IV cath + extension)    (150)  </t>
  </si>
  <si>
    <t xml:space="preserve">ให้น้ำเกลือเข้าเส้นเลือด (สารน้ำ 500 ml+ IV set+ IV cath + extension)    (170)  </t>
  </si>
  <si>
    <t xml:space="preserve">ให้น้ำเกลือเข้าเส้นเลือด (สารน้ำ 1,000 ml+ IV set+ IV cath + extension)    (200)  </t>
  </si>
  <si>
    <t xml:space="preserve">น้ำเกลือ (ARI, ARI-5, LRI, NSS D51/2S) 1,000 CC    (80)  </t>
  </si>
  <si>
    <t xml:space="preserve">น้ำเกลือ (ARI, ARI-5, LRI, NSS D51/2S) 500 CC    (70)  </t>
  </si>
  <si>
    <t xml:space="preserve">น้ำเกลือ (NSS, D5W) 100 CC    (60)  </t>
  </si>
  <si>
    <t xml:space="preserve">Saline irrigate (น้ำเกลือล้างแผล)    (70)  </t>
  </si>
  <si>
    <t xml:space="preserve">50% Glucose    (3)  </t>
  </si>
  <si>
    <t xml:space="preserve">Aminosol/ Kidmin    (3)  </t>
  </si>
  <si>
    <t xml:space="preserve">Haemaccel (พลาสม่าเทียม)    (500)  </t>
  </si>
  <si>
    <t xml:space="preserve">   กรณีใช้ผลิตภัณฑ์เลือดจากภายนอกมาใช้บริการ    (1000)  </t>
  </si>
  <si>
    <t xml:space="preserve">   Whole blood size S 100 ml    (1500)  </t>
  </si>
  <si>
    <t xml:space="preserve">   Whole blood size M 200-250 ml    (2000)  </t>
  </si>
  <si>
    <t xml:space="preserve">   Whole blood size L 350 ml    (3000)  </t>
  </si>
  <si>
    <t xml:space="preserve">   Pack Red Cells size S 100 ml  (2000)  </t>
  </si>
  <si>
    <t xml:space="preserve">   Pack Red Cells size M 200 ml  (3500)  </t>
  </si>
  <si>
    <t xml:space="preserve">   Fresh frozen plasma 100-200 ml  (1500)  </t>
  </si>
  <si>
    <t xml:space="preserve">   ให้เลือดแมว   (1500)  </t>
  </si>
  <si>
    <t xml:space="preserve">ค่าบริการปั่นเลือดจากสถานบริการภายนอก (ไม่รวมอุปกรณ์)  (1500)  </t>
  </si>
  <si>
    <t xml:space="preserve">ค่าบริการปั่นเลือดจากสถานบริการภายนอกโดยต้องการปั่นแยกเกล็ดเลือดด้วย (ไม่รวมอุปกรณ์และถุงเก็บเลือดแบบ triple bag)  (2000)  </t>
  </si>
  <si>
    <t xml:space="preserve">ค่าหัตถการเจาะเก็บตัวอย่างเลือด (ไม่รวมอุปกรณ์)  (50)  </t>
  </si>
  <si>
    <t xml:space="preserve">ค่าให้น้ำเกลือเข้าหลอดเลือดดำ (ไม่รวมอุปกรณ์)  (50)  </t>
  </si>
  <si>
    <t xml:space="preserve">ค่าให้นำเกลือเข้าใต้ผิวหนัง (ไม่รวมอุปกรณ์)  (25)  </t>
  </si>
  <si>
    <t xml:space="preserve">การสวนทวารด้วยน้ำ (Enema) ไม่รวมค่าวางยา  (300)  </t>
  </si>
  <si>
    <t xml:space="preserve">การสวนทวารด้วยน้ำ (Enema) ไม่รวมค่าวางยา  (400)  </t>
  </si>
  <si>
    <t xml:space="preserve">การสวนทวารด้วยน้ำ (Enema) ไม่รวมค่าวางยา  (500)  </t>
  </si>
  <si>
    <t xml:space="preserve">การสวนท่อปัสสาวะ/ การสวนเก็บปัสสาวะ (ไม่รวมค่าวางยา และวัสดุการสวน)  (120)  </t>
  </si>
  <si>
    <t xml:space="preserve">สวนท่อปัสสาวะสุนัขเพศผู้+เย็บท่อ+ต่อถุงแบบตวง (ไม่รวมค่าวางยา วัสดุการสวน และถุงเก็บปัสสาวะ)  (300)  </t>
  </si>
  <si>
    <t xml:space="preserve">สวนท่อปัสสาวะสุนัขเพศเมีย+เย็บท่อ+ต่อถุงแบบตวง (ไม่รวมค่าวางยา และวัสดุการสวน และถุงเก็บปัสสาวะ)  (400)  </t>
  </si>
  <si>
    <t xml:space="preserve">สวนปัสสาวะแมวตัวผู้เพื่อทำการชะล้าง  (400)  </t>
  </si>
  <si>
    <t xml:space="preserve">สวนปัสสาวะแมวตัวผู้เพื่อทำการชะล้าง  (500)  </t>
  </si>
  <si>
    <t xml:space="preserve">สวนปัสสาวะแมวตัวผู้เพื่อทำการชะล้าง และเย็บท่อค้างไว้ (ไม่รวมค่าวางยา วัสดุการเย็บ และวัสดุการสวน)  (400)  </t>
  </si>
  <si>
    <t xml:space="preserve">สวนปัสสาวะแมวตัวผู้เพื่อทำการชะล้าง และเย็บท่อค้างไว้ (ไม่รวมค่าวางยา วัสดุการเย็บ และวัสดุการสวน)  (500)  </t>
  </si>
  <si>
    <t xml:space="preserve">การสวนอุจจาระ และส่องตรวจอุจจาระ  (300)  </t>
  </si>
  <si>
    <t xml:space="preserve">การกู้ชีพ (CPR) แมว และสุนัข น้ำหนัก &lt; 10 กิโลกรัม  (150)  </t>
  </si>
  <si>
    <t xml:space="preserve">การกู้ชีพ (CPR) สุนัข น้ำหนัก 10-25 กิโลกรัม  (200)  </t>
  </si>
  <si>
    <t xml:space="preserve">การกู้ชีพ (CPR) สุนัข น้ำหนัก &gt; 25 กิโลกรัม  (300)  </t>
  </si>
  <si>
    <t xml:space="preserve">การใช้เครื่องกระตุกหัวใจ (Defibrillation)  (150)  </t>
  </si>
  <si>
    <t xml:space="preserve">การใช้เครื่องช่วยหายใจ (On bird)ใช้ต่อเนื่องไม่เกิน 8 ชั่วโมง  (300)  </t>
  </si>
  <si>
    <t xml:space="preserve">การใช้เครื่องช่วยหายใจ (On bird)ใช้ต่อเนื่อง 8-12 ชั่วโมง  (500)  </t>
  </si>
  <si>
    <t xml:space="preserve">การตรวจคลื่นไฟฟ้าหัวใจ (EKG)  (350)  </t>
  </si>
  <si>
    <t xml:space="preserve">การวัดความดันโลหิต  (50)  </t>
  </si>
  <si>
    <t xml:space="preserve">การให้ออกซิเจน (ค่าบริการ/ชั่วโมง)  (50)  </t>
  </si>
  <si>
    <t xml:space="preserve">การให้ละอองบำบัด (Nebulization) สูตร 0.5  (150)  </t>
  </si>
  <si>
    <t xml:space="preserve">การให้ละอองบำบัด (Nebulization) สูตร 1  (200)  </t>
  </si>
  <si>
    <t xml:space="preserve">การเจาะระบายของเหลวจากช่องอก (Thoracocentesis)  (300)  </t>
  </si>
  <si>
    <t xml:space="preserve">การเจาะระบายของเหลวจากช่องอก (Thoracocentesis)  (400)  </t>
  </si>
  <si>
    <t xml:space="preserve">การเจาะระบายของเหลวจากช่องอก (Thoracocentesis)  (500)  </t>
  </si>
  <si>
    <t xml:space="preserve">การเจาะระบายของเหลวจากช่องท้อง (Abdominocentesis)  (300)  </t>
  </si>
  <si>
    <t xml:space="preserve">การเจาะระบายของเหลวจากช่องท้อง (Abdominocentesis)  (400)  </t>
  </si>
  <si>
    <t xml:space="preserve">การเจาะระบายของเหลวจากช่องท้อง (Abdominocentesis)  (500)  </t>
  </si>
  <si>
    <t xml:space="preserve">การเจาะถุงเยื่อหุ้มหัวใจ (Pericardiocentesis)  (500)  </t>
  </si>
  <si>
    <t xml:space="preserve">การเจาะถุงเยื่อหุ้มหัวใจ (Pericardiocentesis)  (700)  </t>
  </si>
  <si>
    <t xml:space="preserve">การเจาะถุงเยื่อหุ้มหัวใจ (Pericardiocentesis)  (800)  </t>
  </si>
  <si>
    <t xml:space="preserve">การเจาะถุงเยื่อหุ้มหัวใจ (Pericardiocentesis)  (1000)  </t>
  </si>
  <si>
    <t xml:space="preserve">การสอดท่อให้อาหารผ่านทางรูจมูก (Nasogastric tube)  (150)  </t>
  </si>
  <si>
    <t xml:space="preserve">การล้างท้อง (Gastric lavage) สัตว์น้ำหนักน้อยกว่า 10 กิโลกรัม  (500)  </t>
  </si>
  <si>
    <t xml:space="preserve">การล้างท้อง (Gastric lavage) สัตว์น้ำหนัก 10-25 กิโลกรัม  (700)  </t>
  </si>
  <si>
    <t xml:space="preserve">การล้างท้อง (Gastric lavage) สัตว์น้ำหนักมากกว่า 25 กิโลกรัม  (1000)  </t>
  </si>
  <si>
    <t xml:space="preserve">ทำความสะอาดหู  (50)  </t>
  </si>
  <si>
    <t xml:space="preserve">ใช้ otoscope ส่องตรวจหู  (50)  </t>
  </si>
  <si>
    <t xml:space="preserve">เก็บตัวอย่างในช่องหูเพื่อส่องตรวจปรสิตภายนอก  (80)  </t>
  </si>
  <si>
    <t xml:space="preserve">ย้อมสีตา (FLS)  (60)  </t>
  </si>
  <si>
    <t xml:space="preserve">วัดปริมาณน้ำตา (STT)  (120)  </t>
  </si>
  <si>
    <t xml:space="preserve">วัดความดันลูกตา  (100)  </t>
  </si>
  <si>
    <t xml:space="preserve">ตรวจจอประสาทตา  (150)  </t>
  </si>
  <si>
    <t xml:space="preserve">ล้างท่อน้ำตา  (500)  </t>
  </si>
  <si>
    <t xml:space="preserve">ล้างท่อน้ำตา (กรณีวางยาสลบ)  (1000)  </t>
  </si>
  <si>
    <t xml:space="preserve">ขูดตรวจผิวหนังเพื่อตรวจหาปรสิตภายนอก  (80)  </t>
  </si>
  <si>
    <t xml:space="preserve">การตรวจหาเชื้อยีสต์ที่ผิวหนัง  (80)  </t>
  </si>
  <si>
    <t xml:space="preserve">ตรวจหาพยาธิหนอนหัวใจด้วยวิธี fresh blood smear  (50)  </t>
  </si>
  <si>
    <t xml:space="preserve">ตัดเล็บ  (50)  </t>
  </si>
  <si>
    <t xml:space="preserve">บีบต่อมก้น  (50)  </t>
  </si>
  <si>
    <t xml:space="preserve">การเก็บชิ้นเนื้อส่งตรวจโดยใช้ Punch  (400)  </t>
  </si>
  <si>
    <t xml:space="preserve">การเก็บชิ้นเนื้อส่งตรวจโดยใช้ Biopsy gun  (1500)  </t>
  </si>
  <si>
    <t xml:space="preserve">การเจาะเก็บน้ำไขสันหลัง (ไม่รวมค่าวางยาสลบ)  (500)  </t>
  </si>
  <si>
    <t xml:space="preserve">การใช้เครื่องให้สารน้ำอัตโนมัติ (Infusion pumb)  (50)  </t>
  </si>
  <si>
    <t xml:space="preserve">การใช้เครื่องให้ยาอัตโนมัติ (Syring pumb)  (50)  </t>
  </si>
  <si>
    <t xml:space="preserve">การใส่ Heparin plug  (30)  </t>
  </si>
  <si>
    <t xml:space="preserve">ทำความสะอาดช่องปาก  (50)  </t>
  </si>
  <si>
    <t xml:space="preserve">การเช็ดตัวลดไข้  (50)  </t>
  </si>
  <si>
    <t xml:space="preserve">การเช็ดตัวลดไข้  (100)  </t>
  </si>
  <si>
    <t xml:space="preserve">การเช็ดตัวลดไข้  (200)  </t>
  </si>
  <si>
    <t xml:space="preserve">การทำความสะอาดตัวสัตว์  (100)  </t>
  </si>
  <si>
    <t xml:space="preserve">การทำความสะอาดตัวสัตว์  (200)  </t>
  </si>
  <si>
    <t xml:space="preserve">การทำความสะอาดตัวสัตว์  (300)  </t>
  </si>
  <si>
    <t xml:space="preserve">การให้ความอบอุ่นโดยใช้ warm plate  (100)  </t>
  </si>
  <si>
    <t xml:space="preserve">การให้ความอบอุ่นโดยใช้เครื่องเป่าลมร้อน  (100)  </t>
  </si>
  <si>
    <t xml:space="preserve">การให้ความอบอุ่นโดยใช้เครื่องเป่าลมร้อน และทำชำรุด  (1000)  </t>
  </si>
  <si>
    <t xml:space="preserve">+ ปิดแผลด้วย adhesive tape  (คิดเพิ่ม)  (20)  </t>
  </si>
  <si>
    <t xml:space="preserve">+ พันแผลด้วย elastic bandage (คิดเพิ่ม)  (50)  </t>
  </si>
  <si>
    <t xml:space="preserve">  + พันแผลด้วย elastic bandage (คิดเพิ่ม)  (100)  </t>
  </si>
  <si>
    <t xml:space="preserve">  + พันแผลด้วย elastic bandage (คิดเพิ่ม)  (150)  </t>
  </si>
  <si>
    <t xml:space="preserve">  + พันแผลด้วย elastic bandage (คิดเพิ่ม)  (200)  </t>
  </si>
  <si>
    <t xml:space="preserve">  + พันแผลด้วย Cohesive bandage (คิดเพิ่ม)  (80)  </t>
  </si>
  <si>
    <t xml:space="preserve">  + พันแผลด้วย Cohesive bandage (คิดเพิ่ม)  (100)  </t>
  </si>
  <si>
    <t xml:space="preserve">  + พันแผลด้วย Cohesive bandage (คิดเพิ่ม)  (150)  </t>
  </si>
  <si>
    <t xml:space="preserve">  + พันแผลด้วย Cohesive bandage (คิดเพิ่ม)  (200)  </t>
  </si>
  <si>
    <t xml:space="preserve">  + พันแผลด้วย Cohesive bandage (คิดเพิ่ม)  (500)  </t>
  </si>
  <si>
    <t xml:space="preserve">  + พันแผลด้วย Cohesive bandage (คิดเพิ่ม)  (1000)  </t>
  </si>
  <si>
    <t xml:space="preserve">  + พันแผลด้วย Cohesive bandage (คิดเพิ่ม)  (1500)  </t>
  </si>
  <si>
    <t xml:space="preserve">  + พันแผลด้วย Cohesive bandage (คิดเพิ่ม)  (2000)  </t>
  </si>
  <si>
    <t xml:space="preserve">  + เย็บแผล (ไม่รวมค่าวางยา และวัสดุผูกเย็บ)  (200)  </t>
  </si>
  <si>
    <t xml:space="preserve">  + เย็บแผล (ไม่รวมค่าวางยา และวัสดุผูกเย็บ)  (300)  </t>
  </si>
  <si>
    <t xml:space="preserve">  + เย็บแผล (ไม่รวมค่าวางยา และวัสดุผูกเย็บ)  (500)  </t>
  </si>
  <si>
    <t xml:space="preserve">  + เย็บแผล (ไม่รวมค่าวางยา และวัสดุผูกเย็บ)  (750)  </t>
  </si>
  <si>
    <t xml:space="preserve">  + เย็บแผล (ไม่รวมค่าวางยา และวัสดุผูกเย็บ)  (1000)  </t>
  </si>
  <si>
    <t xml:space="preserve">  + เย็บแผล (ไม่รวมค่าวางยา และวัสดุผูกเย็บ)  (1250)  </t>
  </si>
  <si>
    <t xml:space="preserve">  + เย็บแผล (ไม่รวมค่าวางยา และวัสดุผูกเย็บ)  (1500)  </t>
  </si>
  <si>
    <t xml:space="preserve">  + เย็บแผล (ไม่รวมค่าวางยา และวัสดุผูกเย็บ)  (1800)  </t>
  </si>
  <si>
    <t xml:space="preserve">  + เย็บแผล (ไม่รวมค่าวางยา และวัสดุผูกเย็บ)  (2000)  </t>
  </si>
  <si>
    <t xml:space="preserve">ใส่เฝือกสังเคราะห์ (รวมอุปกรณ์)  (500)  </t>
  </si>
  <si>
    <t xml:space="preserve">ใส่เฝือกสังเคราะห์ (รวมอุปกรณ์)  (750)  </t>
  </si>
  <si>
    <t xml:space="preserve">ใส่เฝือกสังเคราะห์ (รวมอุปกรณ์)  (1000)  </t>
  </si>
  <si>
    <t xml:space="preserve">ใส่เฝือกสังเคราะห์ (รวมอุปกรณ์)  (1200)  </t>
  </si>
  <si>
    <t xml:space="preserve">ใส่เฝือกสังเคราะห์ (รวมอุปกรณ์)  (1500)  </t>
  </si>
  <si>
    <t xml:space="preserve">ใส่เฝือกสังเคราะห์ (รวมอุปกรณ์)  (2000)  </t>
  </si>
  <si>
    <t xml:space="preserve">ใส่เฝือกสังเคราะห์ (รวมอุปกรณ์)  (2500)  </t>
  </si>
  <si>
    <t xml:space="preserve">ใส่เฝือกสังเคราะห์ (รวมอุปกรณ์)  (3000)  </t>
  </si>
  <si>
    <t xml:space="preserve">เปลี่ยนเฝือกสังเคราะห์ (กรณีใช้ X-lite เดิม)  (350)  </t>
  </si>
  <si>
    <t xml:space="preserve">เปลี่ยนเฝือกสังเคราะห์ (กรณีใช้ X-lite เดิม)  (400)  </t>
  </si>
  <si>
    <t xml:space="preserve">เปลี่ยนเฝือกสังเคราะห์ (กรณีใช้ X-lite เดิม)  (500)  </t>
  </si>
  <si>
    <t xml:space="preserve">เปลี่ยนเฝือกสังเคราะห์ (กรณีใช้ X-lite เดิม)  (750)  </t>
  </si>
  <si>
    <t xml:space="preserve">เปลี่ยนเฝือกสังเคราะห์ (กรณีใช้ X-lite เดิม)  (1000)  </t>
  </si>
  <si>
    <t xml:space="preserve">Ehlmer's sling  (300)  </t>
  </si>
  <si>
    <t xml:space="preserve">Hobbing  (100)  </t>
  </si>
  <si>
    <t xml:space="preserve">Tape muzzle  (80)  </t>
  </si>
  <si>
    <t xml:space="preserve">Velpeau sling  (300)  </t>
  </si>
  <si>
    <t xml:space="preserve">การทำเมตตาฆาต (Euthanasia) : ราคายาคิดตามปริมาตรที่ใช้จริง  (1000)  </t>
  </si>
  <si>
    <t xml:space="preserve">ใบรับรองการตรวจสุขภาพภาษาไทย  (100)  </t>
  </si>
  <si>
    <t xml:space="preserve">ใบรับรองการตรวจสุขภาพภาษาอังกฤษ  (200)  </t>
  </si>
  <si>
    <t xml:space="preserve">ใบรับรองการตรวจรักษาภาษาไทย  (100)  </t>
  </si>
  <si>
    <t xml:space="preserve">ใบรับรองการตรวจรักษาภาษาอังกฤษ  (200)  </t>
  </si>
  <si>
    <t xml:space="preserve">การวางยาสลบทั้งตัว สัตว์น้ำหนักน้อยกว่า 10 กิโลกรัม (ต่อชั่วโมง)  (500)  </t>
  </si>
  <si>
    <t xml:space="preserve">การวางยาสลบทั้งตัว สัตว์น้ำหนัก 10-20 กิโลกรัม (ต่อชั่วโมง)  (600)  </t>
  </si>
  <si>
    <t xml:space="preserve">การวางยาสลบทั้งตัว สัตว์น้ำหนัก 20-30 กิโลกรัม (ต่อชั่วโมง)  (700)  </t>
  </si>
  <si>
    <t xml:space="preserve">การวางยาสลบทั้งตัว สัตว์น้ำหนักมากกว่า 30 กิโลกรัม (ต่อชั่วโมง)  (800)  </t>
  </si>
  <si>
    <t xml:space="preserve">การคงภาวะสลบด้วยก๊าซ Isoflurane  &lt; 30 นาที  (150)  </t>
  </si>
  <si>
    <t xml:space="preserve">การคงภาวะสลบด้วยก๊าซ Isoflurane  30-60 นาที  (300)  </t>
  </si>
  <si>
    <t xml:space="preserve">การคงภาวะสลบด้วยก๊าซ Isoflurane  1-2 ชั่วโมง  (500)  </t>
  </si>
  <si>
    <t xml:space="preserve">การคงภาวะสลบด้วยก๊าซ Isoflurane   2-3 ชั่วโมง  (700)  </t>
  </si>
  <si>
    <t xml:space="preserve">การคงภาวะสลบด้วยก๊าซ Isoflurane  3-4 ชั่วโมง  (800)  </t>
  </si>
  <si>
    <t xml:space="preserve">การคงภาวะสลบด้วยก๊าซ Isoflurane &gt; 4 ชั่วโมง  (1000)  </t>
  </si>
  <si>
    <t xml:space="preserve">การใช้ยาชาเฉพาะที่ (local anesthesia)  (100)  </t>
  </si>
  <si>
    <t xml:space="preserve">การใช้ยาชาเฉพาะที่ (local anesthesia)  (200)  </t>
  </si>
  <si>
    <t xml:space="preserve">การใช้ยาชาเฉพาะที่ (local anesthesia)  (250)  </t>
  </si>
  <si>
    <t xml:space="preserve">การบล๊อคหลัง (Epidural anesthesia)  (300)  </t>
  </si>
  <si>
    <t xml:space="preserve">การบล๊อคหลัง (Epidural anesthesia)  (400)  </t>
  </si>
  <si>
    <t xml:space="preserve">การบล๊อคหลัง (Epidural anesthesia)  (500)  </t>
  </si>
  <si>
    <t xml:space="preserve">1.4 ค่าธรรมเนียมเปิดห้องผ่าตัด (ฉุกเฉิน) ชั่วโมงละ  (500)  </t>
  </si>
  <si>
    <t xml:space="preserve">ศัลยกรรม Skin reconstruction/ Cosmetic surgery  (4000)  </t>
  </si>
  <si>
    <t xml:space="preserve">ศัลยกรรม Skin reconstruction/ Cosmetic surgery  (5000)  </t>
  </si>
  <si>
    <t xml:space="preserve">ศัลยกรรม Skin reconstruction/ Cosmetic surgery  (6000)  </t>
  </si>
  <si>
    <t xml:space="preserve">ศัลยกรรม Skin reconstruction/ Cosmetic surgery  (7000)  </t>
  </si>
  <si>
    <t xml:space="preserve">ศัลยกรรม Skin reconstruction/ Cosmetic surgery  (8000)  </t>
  </si>
  <si>
    <t xml:space="preserve">ศัลยกรรม Skin reconstruction/ Cosmetic surgery  (9000)  </t>
  </si>
  <si>
    <t xml:space="preserve">ศัลยกรรม Skin reconstruction/ Cosmetic surgery  (10000)  </t>
  </si>
  <si>
    <t xml:space="preserve">ศัลยกรรม skin biopsy (คิดเพิ่มตำแหน่งละ 500 บาท)  (2000)  </t>
  </si>
  <si>
    <t xml:space="preserve">ศัลยกรรม skin biopsy   (2500)  </t>
  </si>
  <si>
    <t xml:space="preserve">ศัลยกรรม skin biopsy   (3000)  </t>
  </si>
  <si>
    <t xml:space="preserve">ศัลยกรรม skin biopsy   (3500)  </t>
  </si>
  <si>
    <t xml:space="preserve">ศัลยกรรม skin biopsy   (4000)  </t>
  </si>
  <si>
    <t xml:space="preserve">ศัลยกรรม skin biopsy   (4500)  </t>
  </si>
  <si>
    <t xml:space="preserve">ศัลยกรรม skin biopsy   (5000)  </t>
  </si>
  <si>
    <t xml:space="preserve">ตัด/จี้หูด ด้วยเครื่องตัด/จี้ไฟฟ้า (electrosurgery)  (2000)  </t>
  </si>
  <si>
    <t xml:space="preserve">ตัด/จี้หูด ด้วยเครื่องตัด/จี้ไฟฟ้า (electrosurgery)  (3000)  </t>
  </si>
  <si>
    <t xml:space="preserve">ตัด/จี้หูด ด้วยเครื่องตัด/จี้ไฟฟ้า (electrosurgery)  (4000)  </t>
  </si>
  <si>
    <t xml:space="preserve">ตัด/จี้หูด ด้วยเครื่องตัด/จี้ไฟฟ้า (electrosurgery)  (5000)  </t>
  </si>
  <si>
    <t xml:space="preserve">ตัด/เลาะเนื้องอก  (3000)  </t>
  </si>
  <si>
    <t xml:space="preserve">ตัด/เลาะเนื้องอก  (4000)  </t>
  </si>
  <si>
    <t xml:space="preserve">ตัด/เลาะเนื้องอก  (5000)  </t>
  </si>
  <si>
    <t xml:space="preserve">ตัด/เลาะเนื้องอก  (6000)  </t>
  </si>
  <si>
    <t xml:space="preserve">ตัด/เลาะเนื้องอก  (7000)  </t>
  </si>
  <si>
    <t xml:space="preserve">ตัด/เลาะเนื้องอก  (8000)  </t>
  </si>
  <si>
    <t xml:space="preserve">ตัด/เลาะเนื้องอก  (10000)  </t>
  </si>
  <si>
    <t xml:space="preserve">ตัด/เลาะเนื้องอก  (12000)  </t>
  </si>
  <si>
    <t xml:space="preserve">ตัด/เลาะเนื้องอก  (15000)  </t>
  </si>
  <si>
    <t xml:space="preserve">ศัลยกรรมถุงน้ำที่ข้อศอก (hygroma)  (3000)  </t>
  </si>
  <si>
    <t xml:space="preserve">ศัลยกรรมถุงน้ำที่ข้อศอก (hygroma)  (4000)  </t>
  </si>
  <si>
    <t xml:space="preserve">ศัลยกรรมถุงน้ำที่ข้อศอก (hygroma)  (5000)  </t>
  </si>
  <si>
    <t xml:space="preserve">ศัลยกรรมถุงน้ำที่ข้อศอก (hygroma)  (6000)  </t>
  </si>
  <si>
    <t xml:space="preserve">ศัลยกรรม dermoid cyst  (4500)  </t>
  </si>
  <si>
    <t xml:space="preserve">ศัลยกรรม Lumpectomy 1 ตำแหน่ง  (3000)  </t>
  </si>
  <si>
    <t xml:space="preserve">ศัลยกรรม Lumpectomy 1 ตำแหน่ง  (4000)  </t>
  </si>
  <si>
    <t xml:space="preserve">ศัลยกรรม Lumpectomy 1 ตำแหน่ง  (5000)  </t>
  </si>
  <si>
    <t xml:space="preserve">ศัลยกรรม Lumpectomy 2 - 3 ตำแหน่ง  (4000)  </t>
  </si>
  <si>
    <t xml:space="preserve">ศัลยกรรม Lumpectomy 2 - 3 ตำแหน่ง  (5000)  </t>
  </si>
  <si>
    <t xml:space="preserve">ศัลยกรรม Lumpectomy 2 - 3 ตำแหน่ง  (6000)  </t>
  </si>
  <si>
    <t xml:space="preserve">ศัลยกรรม Lumpectomy 4 - 5 ตำแหน่ง  (5000)  </t>
  </si>
  <si>
    <t xml:space="preserve">ศัลยกรรม Lumpectomy 4 - 5 ตำแหน่ง  (6000)  </t>
  </si>
  <si>
    <t xml:space="preserve">ศัลยกรรม Lumpectomy 4 - 5 ตำแหน่ง  (8000)  </t>
  </si>
  <si>
    <t xml:space="preserve">ศัลยกรรม Lumpectomy 4 - 5 ตำแหน่ง  (10000)  </t>
  </si>
  <si>
    <t xml:space="preserve">ศัลยกรรม Simple mastectomy 1 ตำแหน่ง  (4000)  </t>
  </si>
  <si>
    <t xml:space="preserve">ศัลยกรรม Simple mastectomy 1 ตำแหน่ง  (5000)  </t>
  </si>
  <si>
    <t xml:space="preserve">ศัลยกรรม Simple mastectomy 1 ตำแหน่ง  (6000)  </t>
  </si>
  <si>
    <t xml:space="preserve">ศัลยกรรม Simple mastectomy 1 ตำแหน่ง  (7000)  </t>
  </si>
  <si>
    <t xml:space="preserve">ศัลยกรรม Simple mastectomy 1 ตำแหน่ง  (8000)  </t>
  </si>
  <si>
    <t xml:space="preserve">ศัลยกรรม Simple mastectomy 2 - 3 ตำแหน่ง  (5000)  </t>
  </si>
  <si>
    <t xml:space="preserve">ศัลยกรรม Simple mastectomy 2 - 3 ตำแหน่ง  (6000)  </t>
  </si>
  <si>
    <t xml:space="preserve">ศัลยกรรม Simple mastectomy 2 - 3 ตำแหน่ง  (7000)  </t>
  </si>
  <si>
    <t xml:space="preserve">ศัลยกรรม Simple mastectomy 2 - 3 ตำแหน่ง  (8000)  </t>
  </si>
  <si>
    <t xml:space="preserve">ศัลยกรรม Simple mastectomy 2 - 3 ตำแหน่ง  (9000)  </t>
  </si>
  <si>
    <t xml:space="preserve">ศัลยกรรม Simple mastectomy 2 - 3 ตำแหน่ง  (10000)  </t>
  </si>
  <si>
    <t xml:space="preserve">ศัลยกรรม Regional mastectomy   (400)  </t>
  </si>
  <si>
    <t xml:space="preserve">ศัลยกรรม Regional mastectomy   (4500)  </t>
  </si>
  <si>
    <t xml:space="preserve">ศัลยกรรม Regional mastectomy   (5000)  </t>
  </si>
  <si>
    <t xml:space="preserve">ศัลยกรรม Unilateral mastectomy : cat, dog &lt; 10 kg   (4500)  </t>
  </si>
  <si>
    <t xml:space="preserve">ศัลยกรรม Unilateral mastectomy : cat, dog &lt; 10 kg   (5000)  </t>
  </si>
  <si>
    <t xml:space="preserve">ศัลยกรรม Unilateral mastectomy : cat, dog &lt; 10 kg   (6000)  </t>
  </si>
  <si>
    <t xml:space="preserve">ศัลยกรรม Unilateral mastectomy : dog 10 - 20 kg   (5000)  </t>
  </si>
  <si>
    <t xml:space="preserve">ศัลยกรรม Unilateral mastectomy : dog 10 - 20 kg   (6000)  </t>
  </si>
  <si>
    <t xml:space="preserve">ศัลยกรรม Unilateral mastectomy : dog 10 - 20 kg   (7000)  </t>
  </si>
  <si>
    <t xml:space="preserve">ศัลยกรรม Unilateral mastectomy : dog 20 - 30 kg   (5500)  </t>
  </si>
  <si>
    <t xml:space="preserve">ศัลยกรรม Unilateral mastectomy : dog 20 - 30 kg   (6000)  </t>
  </si>
  <si>
    <t xml:space="preserve">ศัลยกรรม Unilateral mastectomy : dog 20 - 30 kg   (7000)  </t>
  </si>
  <si>
    <t xml:space="preserve">ศัลยกรรม Unilateral mastectomy : dog 20 - 30 kg   (8000)  </t>
  </si>
  <si>
    <t xml:space="preserve">ศัลยกรรม Unilateral mastectomy : dog &gt; 30 kg   (6000)  </t>
  </si>
  <si>
    <t xml:space="preserve">ศัลยกรรม Unilateral mastectomy : dog &gt; 30 kg   (7000)  </t>
  </si>
  <si>
    <t xml:space="preserve">ศัลยกรรม Unilateral mastectomy : dog &gt; 30 kg   (8000)  </t>
  </si>
  <si>
    <t xml:space="preserve">ศัลยกรรม Unilateral mastectomy : dog &gt; 30 kg   (9000)  </t>
  </si>
  <si>
    <t xml:space="preserve">ศัลยกรรม Unilateral mastectomy : dog &gt; 30 kg   (10000)  </t>
  </si>
  <si>
    <t xml:space="preserve">Episiotomy/ Episioplasty  (3000)  </t>
  </si>
  <si>
    <t xml:space="preserve">Episiotomy/ Episioplasty  (4000)  </t>
  </si>
  <si>
    <t xml:space="preserve">Episiotomy/ Episioplasty  (5000)  </t>
  </si>
  <si>
    <t xml:space="preserve">Episiotomy/ Episioplasty  (6000)  </t>
  </si>
  <si>
    <t xml:space="preserve">ศัลยกรรม Oral mass biopsy  (3000)  </t>
  </si>
  <si>
    <t xml:space="preserve">ศัลยกรรม Oral mass biopsy  (3500)  </t>
  </si>
  <si>
    <t xml:space="preserve">ศัลยกรรม Oral mass biopsy  (4000)  </t>
  </si>
  <si>
    <t xml:space="preserve">ศัลยกรรม Oral mass biopsy  (5000)  </t>
  </si>
  <si>
    <t xml:space="preserve">ตัดเนื้องอกในช่องปาก (Oral mass excision)  (3000)  </t>
  </si>
  <si>
    <t xml:space="preserve">ตัดเนื้องอกในช่องปาก (Oral mass excision)  (3500)  </t>
  </si>
  <si>
    <t xml:space="preserve">ตัดเนื้องอกในช่องปาก (Oral mass excision)  (4000)  </t>
  </si>
  <si>
    <t xml:space="preserve">ตัดเนื้องอกในช่องปาก (Oral mass excision)  (5000)  </t>
  </si>
  <si>
    <t xml:space="preserve">ศัลยกรรมตัดลิ้น (Glossectomy)  (4000)  </t>
  </si>
  <si>
    <t xml:space="preserve">ศัลยกรรมตัดลิ้น (Glossectomy)  (4500)  </t>
  </si>
  <si>
    <t xml:space="preserve">ศัลยกรรมตัดลิ้น (Glossectomy)  (5000)  </t>
  </si>
  <si>
    <t xml:space="preserve">ศัลยกรรมตัดลิ้น (Glossectomy)  (6000)  </t>
  </si>
  <si>
    <t xml:space="preserve">ศัลยกรรมตัดลิ้น (Glossectomy)  (7000)  </t>
  </si>
  <si>
    <t xml:space="preserve">ศัลยกรรมตัดลิ้น (Glossectomy)  (8000)  </t>
  </si>
  <si>
    <t xml:space="preserve">ศัลยกรรมแก้ไขปากแหว่ง-เพดานโหว่ (Cleft palate/ Hare lip)  (4000)  </t>
  </si>
  <si>
    <t xml:space="preserve">ศัลยกรรมแก้ไขปากแหว่ง-เพดานโหว่ (Cleft palate/ Hare lip)  (4500)  </t>
  </si>
  <si>
    <t xml:space="preserve">ศัลยกรรมแก้ไขปากแหว่ง-เพดานโหว่ (Cleft palate/ Hare lip)  (5000)  </t>
  </si>
  <si>
    <t xml:space="preserve">ศัลยกรรมแก้ไขปากแหว่ง-เพดานโหว่ (Cleft palate/ Hare lip)  (6000)  </t>
  </si>
  <si>
    <t xml:space="preserve">ศัลยกรรมแก้ไขปากแหว่ง-เพดานโหว่ (Cleft palate/ Hare lip)  (7000)  </t>
  </si>
  <si>
    <t xml:space="preserve">ศัลยกรรมแก้ไขปากแหว่ง-เพดานโหว่ (Cleft palate/ Hare lip)  (8000)  </t>
  </si>
  <si>
    <t xml:space="preserve">ศัลยกรรมตัดต่อมน้ำลาย (Salivary mucoceles)  1 ข้าง  (3000)  </t>
  </si>
  <si>
    <t xml:space="preserve">ศัลยกรรมตัดต่อมน้ำลาย (Salivary mucoceles)  1 ข้าง  (3500)  </t>
  </si>
  <si>
    <t xml:space="preserve">ศัลยกรรมตัดต่อมน้ำลาย (Salivary mucoceles)  1 ข้าง  (4000)  </t>
  </si>
  <si>
    <t xml:space="preserve">ศัลยกรรมตัดต่อมน้ำลาย (Salivary mucoceles)  1 ข้าง  (5000)  </t>
  </si>
  <si>
    <t xml:space="preserve">ศัลยกรรมตัดต่อมน้ำลาย (Salivary mucoceles)  2 ข้าง  (4000)  </t>
  </si>
  <si>
    <t xml:space="preserve">ศัลยกรรมตัดต่อมน้ำลาย (Salivary mucoceles)  2 ข้าง  (4500)  </t>
  </si>
  <si>
    <t xml:space="preserve">ศัลยกรรมตัดต่อมน้ำลาย (Salivary mucoceles)  2 ข้าง  (5000)  </t>
  </si>
  <si>
    <t xml:space="preserve">ศัลยกรรมตัดต่อมน้ำลาย (Salivary mucoceles)  2 ข้าง  (6000)  </t>
  </si>
  <si>
    <t xml:space="preserve">ศัลยกรรม Ranula marsupialization (ท่อน้ำลายอุดตัน)  (3000)  </t>
  </si>
  <si>
    <t xml:space="preserve">ศัลยกรรม Ranula marsupialization (ท่อน้ำลายอุดตัน)  (3500)  </t>
  </si>
  <si>
    <t xml:space="preserve">ศัลยกรรม Ranula marsupialization (ท่อน้ำลายอุดตัน)  (4000)  </t>
  </si>
  <si>
    <t xml:space="preserve">ศัลยกรรม Ranula marsupialization (ท่อน้ำลายอุดตัน)  (5000)  </t>
  </si>
  <si>
    <t xml:space="preserve">ศัลยกรรม Pharyngotomy tube placement (ไม่รวมค่าอุปกรณ์)  (4000)  </t>
  </si>
  <si>
    <t xml:space="preserve">ศัลยกรรม Pharyngotomy tube placement (ไม่รวมค่าอุปกรณ์)  (4500)  </t>
  </si>
  <si>
    <t xml:space="preserve">ศัลยกรรม Pharyngotomy tube placement (ไม่รวมค่าอุปกรณ์)  (5000)  </t>
  </si>
  <si>
    <t xml:space="preserve">ศัลยกรรม Pharyngotomy tube placement (ไม่รวมค่าอุปกรณ์)  (6000)  </t>
  </si>
  <si>
    <t xml:space="preserve">ศัลยกรรม Pharyngotomy tube placement (ไม่รวมค่าอุปกรณ์)  (7000)  </t>
  </si>
  <si>
    <t xml:space="preserve">ศัลยกรรม Pharyngotomy tube placement (ไม่รวมค่าอุปกรณ์)  (8000)  </t>
  </si>
  <si>
    <t xml:space="preserve">ศัลยกรรมหลอดอาหารส่วนคอ Esophagotomy/ Esophagectomy  (3000)  </t>
  </si>
  <si>
    <t xml:space="preserve">ศัลยกรรมหลอดอาหารส่วนคอ Esophagotomy/ Esophagectomy  (3500)  </t>
  </si>
  <si>
    <t xml:space="preserve">ศัลยกรรมหลอดอาหารส่วนคอ Esophagotomy/ Esophagectomy  (4000)  </t>
  </si>
  <si>
    <t xml:space="preserve">ศัลยกรรมหลอดอาหารส่วนคอ Esophagotomy/ Esophagectomy  (5000)  </t>
  </si>
  <si>
    <t xml:space="preserve">ศัลยกรรมหลอดอาหารส่วนคอ Esophagotomy/ Esophagectomy  (6000)  </t>
  </si>
  <si>
    <t xml:space="preserve">ศัลยกรรมหลอดอาหาร ส่วนช่องอก (ใช้เครื่องช่วยหายใจ)  (5000)  </t>
  </si>
  <si>
    <t xml:space="preserve">ศัลยกรรมหลอดอาหาร ส่วนช่องอก (ใช้เครื่องช่วยหายใจ)  (6000)  </t>
  </si>
  <si>
    <t xml:space="preserve">ศัลยกรรมหลอดอาหาร ส่วนช่องอก (ใช้เครื่องช่วยหายใจ)  (7000)  </t>
  </si>
  <si>
    <t xml:space="preserve">ศัลยกรรมหลอดอาหาร ส่วนช่องอก (ใช้เครื่องช่วยหายใจ)  (8000)  </t>
  </si>
  <si>
    <t xml:space="preserve">ศัลยกรรมหลอดอาหาร ส่วนช่องอก (ใช้เครื่องช่วยหายใจ)  (9000)  </t>
  </si>
  <si>
    <t xml:space="preserve">ศัลยกรรมหลอดอาหาร ส่วนช่องอก (ใช้เครื่องช่วยหายใจ)  (10000)  </t>
  </si>
  <si>
    <t xml:space="preserve">ศัลยกรรม Esophagotomy tube placement (ไม่รวมค่าอุปกรณ์)  (2500)  </t>
  </si>
  <si>
    <t xml:space="preserve">ศัลยกรรม Esophagotomy tube placement (ไม่รวมค่าอุปกรณ์)  (3000)  </t>
  </si>
  <si>
    <t xml:space="preserve">ศัลยกรรม Esophagotomy tube placement (ไม่รวมค่าอุปกรณ์)  (4000)  </t>
  </si>
  <si>
    <t xml:space="preserve">ศัลยกรรม Esophagotomy tube placement (ไม่รวมค่าอุปกรณ์)  (5000)  </t>
  </si>
  <si>
    <t xml:space="preserve">ศัลยกรรม Cricopharyngeal achalasia  (4000)  </t>
  </si>
  <si>
    <t xml:space="preserve">ศัลยกรรม Cricopharyngeal achalasia  (4500)  </t>
  </si>
  <si>
    <t xml:space="preserve">ศัลยกรรม Cricopharyngeal achalasia  (5000)  </t>
  </si>
  <si>
    <t xml:space="preserve">ศัลยกรรม Cricopharyngeal achalasia  (6000)  </t>
  </si>
  <si>
    <t xml:space="preserve">ศัลยกรรม Tonsillectomy   (4000)  </t>
  </si>
  <si>
    <t xml:space="preserve">แก้ไขเลือดคั่งที่ใบหู (Aural hematoma)  1 ข้าง  (2000)  </t>
  </si>
  <si>
    <t xml:space="preserve">แก้ไขเลือดคั่งที่ใบหู (Aural hematoma)  1 ข้าง  (2500)  </t>
  </si>
  <si>
    <t xml:space="preserve">แก้ไขเลือดคั่งที่ใบหู (Aural hematoma)  1 ข้าง  (3000)  </t>
  </si>
  <si>
    <t xml:space="preserve">แก้ไขเลือดคั่งที่ใบหู (Aural hematoma)  1 ข้าง  (3500)  </t>
  </si>
  <si>
    <t xml:space="preserve">แก้ไขเลือดคั่งที่ใบหู (Aural hematoma)  1 ข้าง  (4000)  </t>
  </si>
  <si>
    <t xml:space="preserve">แก้ไขเลือดคั่งที่ใบหู (Aural hematoma)  1 ข้าง  (5000)  </t>
  </si>
  <si>
    <t xml:space="preserve">แก้ไขเลือดคั่งที่ใบหู (Aural hematoma)  2 ข้าง  (3000)  </t>
  </si>
  <si>
    <t xml:space="preserve">แก้ไขเลือดคั่งที่ใบหู (Aural hematoma)  2 ข้าง  (4000)  </t>
  </si>
  <si>
    <t xml:space="preserve">แก้ไขเลือดคั่งที่ใบหู (Aural hematoma)  2 ข้าง  (5000)  </t>
  </si>
  <si>
    <t xml:space="preserve">แก้ไขเลือดคั่งที่ใบหู (Aural hematoma)  2 ข้าง  (6000)  </t>
  </si>
  <si>
    <t xml:space="preserve">แก้ไขเลือดคั่งที่ใบหู (Aural hematoma)  2 ข้าง  (7000)  </t>
  </si>
  <si>
    <t xml:space="preserve">แก้ไขเลือดคั่งที่ใบหู (Aural hematoma)  2 ข้าง  (8000)  </t>
  </si>
  <si>
    <t xml:space="preserve">ศัลยกรรม Ear pinnectomy : Car, Dog &lt; 10 kg  (3000)  </t>
  </si>
  <si>
    <t xml:space="preserve">ศัลยกรรม Ear pinnectomy : Car, Dog &lt; 10 kg  (3500)  </t>
  </si>
  <si>
    <t xml:space="preserve">ศัลยกรรม Ear pinnectomy : Car, Dog &lt; 10 kg  (4500)  </t>
  </si>
  <si>
    <t xml:space="preserve">ศัลยกรรม Ear pinnectomy : Car, Dog &lt; 10 kg  (5000)  </t>
  </si>
  <si>
    <t xml:space="preserve">ศัลยกรรม Ear pinnectomy : Dog 10 - 20 kg  (4000)  </t>
  </si>
  <si>
    <t xml:space="preserve">ศัลยกรรม Ear pinnectomy : Dog 10 - 20 kg  (4500)  </t>
  </si>
  <si>
    <t xml:space="preserve">ศัลยกรรม Ear pinnectomy : Dog 10 - 20 kg  (5000)  </t>
  </si>
  <si>
    <t xml:space="preserve">ศัลยกรรม Ear pinnectomy : Dog 10 - 20 kg  (6000)  </t>
  </si>
  <si>
    <t xml:space="preserve">ศัลยกรรม Ear pinnectomy : Dog 20 - 30 kg  (5000)  </t>
  </si>
  <si>
    <t xml:space="preserve">ศัลยกรรม Ear pinnectomy : Dog 20 - 30 kg  (5500)  </t>
  </si>
  <si>
    <t xml:space="preserve">ศัลยกรรม Ear pinnectomy : Dog 20 - 30 kg  (6000)  </t>
  </si>
  <si>
    <t xml:space="preserve">ศัลยกรรม Ear pinnectomy : Dog 20 - 30 kg  (7000)  </t>
  </si>
  <si>
    <t xml:space="preserve">ศัลยกรรม Ear pinnectomy : Dog 20 - 30 kg  (8000)  </t>
  </si>
  <si>
    <t xml:space="preserve">ศัลยกรรม Lateral ear canal resection 1 ข้าง  (4000)  </t>
  </si>
  <si>
    <t xml:space="preserve">ศัลยกรรม Lateral ear canal resection 1 ข้าง  (4500)  </t>
  </si>
  <si>
    <t xml:space="preserve">ศัลยกรรม Lateral ear canal resection 1 ข้าง  (5000)  </t>
  </si>
  <si>
    <t xml:space="preserve">ศัลยกรรม Lateral ear canal resection 1 ข้าง  (6000)  </t>
  </si>
  <si>
    <t xml:space="preserve">ศัลยกรรม Lateral ear canal resection 2 ข้าง  (5000)  </t>
  </si>
  <si>
    <t xml:space="preserve">ศัลยกรรม Lateral ear canal resection 2 ข้าง  (6000)  </t>
  </si>
  <si>
    <t xml:space="preserve">ศัลยกรรม Lateral ear canal resection 2 ข้าง  (7000)  </t>
  </si>
  <si>
    <t xml:space="preserve">ศัลยกรรม Lateral ear canal resection 2 ข้าง  (8000)  </t>
  </si>
  <si>
    <t xml:space="preserve">ศัลยกรรม Vertical ear canal ablation 1 ข้าง  (5000)  </t>
  </si>
  <si>
    <t xml:space="preserve">ศัลยกรรม Vertical ear canal ablation 1 ข้าง  (5500)  </t>
  </si>
  <si>
    <t xml:space="preserve">ศัลยกรรม Vertical ear canal ablation 1 ข้าง  (6000)  </t>
  </si>
  <si>
    <t xml:space="preserve">ศัลยกรรม Vertical ear canal ablation 1 ข้าง  (6500)  </t>
  </si>
  <si>
    <t xml:space="preserve">ศัลยกรรม Vertical ear canal ablation 1 ข้าง  (7000)  </t>
  </si>
  <si>
    <t xml:space="preserve">ศัลยกรรม Vertical ear canal ablation 2 ข้าง  (6000)  </t>
  </si>
  <si>
    <t xml:space="preserve">ศัลยกรรม Vertical ear canal ablation 2 ข้าง  (6500)  </t>
  </si>
  <si>
    <t xml:space="preserve">ศัลยกรรม Vertical ear canal ablation 2 ข้าง  (7000)  </t>
  </si>
  <si>
    <t xml:space="preserve">ศัลยกรรม Vertical ear canal ablation 2 ข้าง  (7500)  </t>
  </si>
  <si>
    <t xml:space="preserve">ศัลยกรรม Vertical ear canal ablation 2 ข้าง  (8000)  </t>
  </si>
  <si>
    <t xml:space="preserve">ศัลยกรรม Total ear canal ablation 1 ข้าง  (6000)  </t>
  </si>
  <si>
    <t xml:space="preserve">ศัลยกรรม Total ear canal ablation 1 ข้าง  (6500)  </t>
  </si>
  <si>
    <t xml:space="preserve">ศัลยกรรม Total ear canal ablation 1 ข้าง  (7000)  </t>
  </si>
  <si>
    <t xml:space="preserve">ศัลยกรรม Total ear canal ablation 1 ข้าง  (7500)  </t>
  </si>
  <si>
    <t xml:space="preserve">ศัลยกรรม Total ear canal ablation 1 ข้าง  (8000)  </t>
  </si>
  <si>
    <t xml:space="preserve">ศัลยกรรม Total ear canal ablation 2 ข้าง  (7000)  </t>
  </si>
  <si>
    <t xml:space="preserve">ศัลยกรรม Total ear canal ablation 2 ข้าง  (7500)  </t>
  </si>
  <si>
    <t xml:space="preserve">ศัลยกรรม Total ear canal ablation 2 ข้าง  (8000)  </t>
  </si>
  <si>
    <t xml:space="preserve">ศัลยกรรม Total ear canal ablation 2 ข้าง  (8500)  </t>
  </si>
  <si>
    <t xml:space="preserve">ศัลยกรรม Total ear canal ablation 2 ข้าง  (9000)  </t>
  </si>
  <si>
    <t xml:space="preserve">ศัลยกรรม Total ear canal ablation 2 ข้าง  (10000)  </t>
  </si>
  <si>
    <t xml:space="preserve">ศัลยกรรมท่อหูส่วนกลาง  (8000)  </t>
  </si>
  <si>
    <t xml:space="preserve">ศัลยกรรมท่อหูส่วนกลาง  (8500)  </t>
  </si>
  <si>
    <t xml:space="preserve">ศัลยกรรมท่อหูส่วนกลาง  (9000)  </t>
  </si>
  <si>
    <t xml:space="preserve">ศัลยกรรมท่อหูส่วนกลาง  (10000)  </t>
  </si>
  <si>
    <t xml:space="preserve">ถอนขนตา/จี้เย็น (Cryosurgery)  (1000)  </t>
  </si>
  <si>
    <t xml:space="preserve">ถอนขนตา/จี้เย็น (Cryosurgery)  (1200)  </t>
  </si>
  <si>
    <t xml:space="preserve">ถอนขนตา/จี้เย็น (Cryosurgery)  (1500)  </t>
  </si>
  <si>
    <t xml:space="preserve">ถอนขนตา/จี้เย็น (Cryosurgery)  (1800)  </t>
  </si>
  <si>
    <t xml:space="preserve">ถอนขนตา/จี้เย็น (Cryosurgery)  (2000)  </t>
  </si>
  <si>
    <t xml:space="preserve">ศัลยกรรม Eye ball reduction + Temporary tarsorhaphy  (1200)  </t>
  </si>
  <si>
    <t xml:space="preserve">ศัลยกรรม Eye ball reduction + Temporary tarsorhaphy  (1500)  </t>
  </si>
  <si>
    <t xml:space="preserve">เย็บปิดเปลือกตาชั่วคราว (Temporary tarsorhaphy)  (1200)  </t>
  </si>
  <si>
    <t xml:space="preserve">ศัลยกรรมหนังตาที่สามปิดคลุมกระจกตา (Third eyelid flap)  (1500)  </t>
  </si>
  <si>
    <t xml:space="preserve">ศัลยกรรมหนังตาที่สามปิดคลุมกระจกตา (Third eyelid flap)  (1800)  </t>
  </si>
  <si>
    <t xml:space="preserve">ศัลยกรรมหนังตาที่สามปิดคลุมกระจกตา (Third eyelid flap)  (2000)  </t>
  </si>
  <si>
    <t xml:space="preserve">ศัลยกรรมตัดเชอร์รี่ อาย (Cherry eye)  (1200)  </t>
  </si>
  <si>
    <t xml:space="preserve">ศัลยกรรมตัดเชอร์รี่ อาย (Cherry eye)  (1500)  </t>
  </si>
  <si>
    <t xml:space="preserve">ศัลยกรรมแก้ไข Cherry eye ด้วยวิธี pocket 1 ข้าง  (2000)  </t>
  </si>
  <si>
    <t xml:space="preserve">ศัลยกรรมแก้ไข Cherry eye ด้วยวิธี pocket 1 ข้าง  (2500)  </t>
  </si>
  <si>
    <t xml:space="preserve">ศัลยกรรมแก้ไข Cherry eye ด้วยวิธี pocket 1 ข้าง  (3000)  </t>
  </si>
  <si>
    <t xml:space="preserve">ศัลยกรรมแก้ไข Cherry eye ด้วยวิธี pocket 1 ข้าง  (3500)  </t>
  </si>
  <si>
    <t xml:space="preserve">ศัลยกรรมแก้ไข Cherry eye ด้วยวิธี pocket 2 ข้าง  (5000)  </t>
  </si>
  <si>
    <t xml:space="preserve">ควักลูกตา (Enucleation)  1 ข้าง  (2000)  </t>
  </si>
  <si>
    <t xml:space="preserve">ควักลูกตา (Enucleation)  1 ข้าง  (2500)  </t>
  </si>
  <si>
    <t xml:space="preserve">ควักลูกตา (Enucleation)  1 ข้าง  (3000)  </t>
  </si>
  <si>
    <t xml:space="preserve">ควักลูกตา (Enucleation)  1 ข้าง  (3500)  </t>
  </si>
  <si>
    <t xml:space="preserve">ควักลูกตา (Enucleation)  1 ข้าง  (4000)  </t>
  </si>
  <si>
    <t xml:space="preserve">ควักลูกตา (Enucleation)  2 ข้าง  (5000)  </t>
  </si>
  <si>
    <t xml:space="preserve">ศัลยกรรมเปลือกตา 1 ข้าง  (2000)  </t>
  </si>
  <si>
    <t xml:space="preserve">ศัลยกรรมเปลือกตา 1 ข้าง  (2500)  </t>
  </si>
  <si>
    <t xml:space="preserve">ศัลยกรรมเปลือกตา 1 ข้าง  (3000)  </t>
  </si>
  <si>
    <t xml:space="preserve">ศัลยกรรมเปลือกตา 1 ข้าง  (3500)  </t>
  </si>
  <si>
    <t xml:space="preserve">ศัลยกรรมเปลือกตา 2 ข้าง  (4500)  </t>
  </si>
  <si>
    <t xml:space="preserve">ศัลยกรรมกระจกตา Superficial keratectomy  (3000)  </t>
  </si>
  <si>
    <t xml:space="preserve">ศัลยกรรมกระจกตา Superficial keratectomy  (3500)  </t>
  </si>
  <si>
    <t xml:space="preserve">ศัลยกรรมกระจกตา Superficial keratectomy  (4000)  </t>
  </si>
  <si>
    <t xml:space="preserve">ศัลยกรรมกระจกตา Superficial keratectomy  (4500)  </t>
  </si>
  <si>
    <t xml:space="preserve">ศัลยกรรมกระจกตา Superficial keratectomy  (5000)  </t>
  </si>
  <si>
    <t xml:space="preserve">ศัลยกรรม Eyelid laceration repair  (4000)  </t>
  </si>
  <si>
    <t xml:space="preserve">ศัลยกรรม Eyelid laceration repair  (4500)  </t>
  </si>
  <si>
    <t xml:space="preserve">ศัลยกรรม Eyelid laceration repair  (5000)  </t>
  </si>
  <si>
    <t xml:space="preserve">ศัลยกรรม Wedge resection eyelid mass  (4000)  </t>
  </si>
  <si>
    <t xml:space="preserve">ศัลยกรรม Wedge resection eyelid mass  (4500)  </t>
  </si>
  <si>
    <t xml:space="preserve">ศัลยกรรม Wedge resection eyelid mass  (5000)  </t>
  </si>
  <si>
    <t xml:space="preserve">ศัลยกรรม Conjunctival flap 1 ข้าง  (1500)  </t>
  </si>
  <si>
    <t xml:space="preserve">ศัลยกรรม Conjunctival flap 1 ข้าง  (1800)  </t>
  </si>
  <si>
    <t xml:space="preserve">ศัลยกรรม Conjunctival flap 1 ข้าง  (2000)  </t>
  </si>
  <si>
    <t xml:space="preserve">ศัลยกรรม Conjunctival flap 2 ข้าง  (3000)  </t>
  </si>
  <si>
    <t xml:space="preserve">ศัลยกรรม Amniotic membrane transplantation  (5000)  </t>
  </si>
  <si>
    <t xml:space="preserve">ศัลยกรรม Amniotic membrane transplantation  (5500)  </t>
  </si>
  <si>
    <t xml:space="preserve">ศัลยกรรม Amniotic membrane transplantation  (6000)  </t>
  </si>
  <si>
    <t xml:space="preserve">ศัลยกรรม Amniotic membrane transplantation  (6500)  </t>
  </si>
  <si>
    <t xml:space="preserve">ศัลยกรรม Amniotic membrane transplantation  (7000)  </t>
  </si>
  <si>
    <t xml:space="preserve">ศัลยกรรม 360 degree conjunctival flap 1 ข้าง  (2500)  </t>
  </si>
  <si>
    <t xml:space="preserve">ศัลยกรรม 360 degree conjunctival flap 1 ข้าง  (3000)  </t>
  </si>
  <si>
    <t xml:space="preserve">ศัลยกรรม 360 degree conjunctival flap 1 ข้าง  (3500)  </t>
  </si>
  <si>
    <t xml:space="preserve">ศัลยกรรม 360 degree conjunctival flap 1 ข้าง  (4000)  </t>
  </si>
  <si>
    <t xml:space="preserve">ศัลยกรรม 360 degree conjunctival flap 2 ข้าง  (5000)  </t>
  </si>
  <si>
    <t xml:space="preserve">ศัลยกรรม 360 degree conjunctival flap 2 ข้าง  (5500)  </t>
  </si>
  <si>
    <t xml:space="preserve">ศัลยกรรม 360 degree conjunctival flap 2 ข้าง  (6000)  </t>
  </si>
  <si>
    <t xml:space="preserve">ศัลยกรรม 360 degree conjunctival flap 2 ข้าง  (6500)  </t>
  </si>
  <si>
    <t xml:space="preserve">ศัลยกรรม 360 degree conjunctival flap 2 ข้าง  (7000)  </t>
  </si>
  <si>
    <t xml:space="preserve">ศัลยกรรม 360 degree conjunctival flap 2 ข้าง  (7500)  </t>
  </si>
  <si>
    <t xml:space="preserve">ศัลยกรรม 360 degree conjunctival flap 2 ข้าง  (8000)  </t>
  </si>
  <si>
    <t xml:space="preserve">ศัลยกรรม Conjunctival graft   (2500)  </t>
  </si>
  <si>
    <t xml:space="preserve">ศัลยกรรม Conjunctival graft   (3000)  </t>
  </si>
  <si>
    <t xml:space="preserve">ศัลยกรรม Conjunctival graft   (3500)  </t>
  </si>
  <si>
    <t xml:space="preserve">ศัลยกรรม Conjunctival graft   (4000)  </t>
  </si>
  <si>
    <t xml:space="preserve">ศัลยกรรมรักษา Gluacoma ด้วย diode laser  (4000)  </t>
  </si>
  <si>
    <t xml:space="preserve">ศัลยกรรมรักษา Gluacoma ด้วย diode laser  (4500)  </t>
  </si>
  <si>
    <t xml:space="preserve">ศัลยกรรมรักษา Gluacoma ด้วย diode laser  (5000)  </t>
  </si>
  <si>
    <t xml:space="preserve">ศัลยกรรมรักษา Gluacoma ด้วย diode laser  (5500)  </t>
  </si>
  <si>
    <t xml:space="preserve">ศัลยกรรมรักษา Gluacoma ด้วย diode laser  (6000)  </t>
  </si>
  <si>
    <t xml:space="preserve">ศัลยกรรม Kird keratotomy 1 ข้าง  (1000)  </t>
  </si>
  <si>
    <t xml:space="preserve">ศัลยกรรม Kird keratotomy 1 ข้าง  (1200)  </t>
  </si>
  <si>
    <t xml:space="preserve">ศัลยกรรม Kird keratotomy 1 ข้าง  (1500)  </t>
  </si>
  <si>
    <t xml:space="preserve">ศัลยกรรม Kird keratotomy 2 ข้าง  (2000)  </t>
  </si>
  <si>
    <t xml:space="preserve">ศัลยกรรมต้อกระจก Phagoemutification (ต่อข้าง)  (22000)  </t>
  </si>
  <si>
    <t xml:space="preserve">ศัลยกรรมต้อกระจก Phagoemutification (ต่อข้าง)  (23000)  </t>
  </si>
  <si>
    <t xml:space="preserve">ศัลยกรรมต้อกระจก Phagoemutification (ต่อข้าง)  (24000)  </t>
  </si>
  <si>
    <t xml:space="preserve">ศัลยกรรมต้อกระจก Phagoemutification (ต่อข้าง)  (25000)  </t>
  </si>
  <si>
    <t xml:space="preserve">ศัลยกรรมตัดสายเสียง     (4000)  </t>
  </si>
  <si>
    <t xml:space="preserve">ศัลยกรรมตัดสายเสียง     (5000)  </t>
  </si>
  <si>
    <t xml:space="preserve">ศัลยกรรมตัดสายเสียง     (6000)  </t>
  </si>
  <si>
    <t xml:space="preserve">ศัลยกรรมตัดสายเสียง     (7000)  </t>
  </si>
  <si>
    <t xml:space="preserve">ศัลยกรรมตัดสายเสียง     (8000)  </t>
  </si>
  <si>
    <t xml:space="preserve">ศัลยกรรมตัดปีกจมูก/ แก้ไขช่องจมูกตีบ  (3000)  </t>
  </si>
  <si>
    <t xml:space="preserve">ศัลยกรรมตัดปีกจมูก/ แก้ไขช่องจมูกตีบ  (4000)  </t>
  </si>
  <si>
    <t xml:space="preserve">ศัลยกรรมตัดปีกจมูก/ แก้ไขช่องจมูกตีบ  (5000)  </t>
  </si>
  <si>
    <t xml:space="preserve">ศัลยกรรมตัดปีกจมูก/ แก้ไขช่องจมูกตีบ  (6000)  </t>
  </si>
  <si>
    <t xml:space="preserve">ศัลยกรรมตัดปีกจมูก/ แก้ไขช่องจมูกตีบ  (7000)  </t>
  </si>
  <si>
    <t xml:space="preserve">ศัลยกรรมตัดปีกจมูก/ แก้ไขช่องจมูกตีบ  (8000)  </t>
  </si>
  <si>
    <t xml:space="preserve">ตัดเนื้องอกในโพรงจมูก              (4000)  </t>
  </si>
  <si>
    <t xml:space="preserve">ตัดเนื้องอกในโพรงจมูก              (5000)  </t>
  </si>
  <si>
    <t xml:space="preserve">ตัดเนื้องอกในโพรงจมูก              (6000)  </t>
  </si>
  <si>
    <t xml:space="preserve">ตัดเนื้องอกในโพรงจมูก              (7000)  </t>
  </si>
  <si>
    <t xml:space="preserve">ตัดเนื้องอกในโพรงจมูก              (8000)  </t>
  </si>
  <si>
    <t xml:space="preserve">ตัดเนื้องอกในโพรงจมูก              (10000)  </t>
  </si>
  <si>
    <t xml:space="preserve">Nasal planum resection  (5000)  </t>
  </si>
  <si>
    <t xml:space="preserve">Nasal planum resection  (6000)  </t>
  </si>
  <si>
    <t xml:space="preserve">Nasal planum resection  (7000)  </t>
  </si>
  <si>
    <t xml:space="preserve">Nasal planum resection  (8000)  </t>
  </si>
  <si>
    <t xml:space="preserve">Nasal planum resection  (10000)  </t>
  </si>
  <si>
    <t xml:space="preserve">ศัลยกรรมเปิดผ่าโพรงจมูก (rhinotomy)  (4000)  </t>
  </si>
  <si>
    <t xml:space="preserve">ศัลยกรรมเปิดผ่าโพรงจมูก (rhinotomy)  (5000)  </t>
  </si>
  <si>
    <t xml:space="preserve">ศัลยกรรมเปิดผ่าโพรงจมูก (rhinotomy)  (6000)  </t>
  </si>
  <si>
    <t xml:space="preserve">ศัลยกรรมเปิดผ่าโพรงจมูก (rhinotomy)  (7000)  </t>
  </si>
  <si>
    <t xml:space="preserve">ศัลยกรรมเปิดผ่าโพรงจมูก (rhinotomy)  (8000)  </t>
  </si>
  <si>
    <t xml:space="preserve">ศัลยกรรม tracheotomy/ tracheostomy/ laryngotomy  (4000)  </t>
  </si>
  <si>
    <t xml:space="preserve">ศัลยกรรม tracheotomy/ tracheostomy/ laryngotomy  (5000)  </t>
  </si>
  <si>
    <t xml:space="preserve">ศัลยกรรม tracheotomy/ tracheostomy/ laryngotomy  (6000)  </t>
  </si>
  <si>
    <t xml:space="preserve">ศัลยกรรม tracheotomy/ tracheostomy/ laryngotomy  (7000)  </t>
  </si>
  <si>
    <t xml:space="preserve">ศัลยกรรม tracheotomy/ tracheostomy/ laryngotomy  (8000)  </t>
  </si>
  <si>
    <t xml:space="preserve">ศัลยกรรม temporary tracheostomy  (3000)  </t>
  </si>
  <si>
    <t xml:space="preserve">ศัลยกรรม temporary tracheostomy  (3500)  </t>
  </si>
  <si>
    <t xml:space="preserve">ศัลยกรรม temporary tracheostomy  (4000)  </t>
  </si>
  <si>
    <t xml:space="preserve">ศัลยกรรม temporary tracheostomy  (4500)  </t>
  </si>
  <si>
    <t xml:space="preserve">ศัลยกรรม temporary tracheostomy  (5000)  </t>
  </si>
  <si>
    <t xml:space="preserve">ศัลยกรรมตัดต่อหลอดลม (tracheal resection and anastomosis)  (4000)  </t>
  </si>
  <si>
    <t xml:space="preserve">ศัลยกรรมตัดต่อหลอดลม (tracheal resection and anastomosis)  (4500)  </t>
  </si>
  <si>
    <t xml:space="preserve">ศัลยกรรมตัดต่อหลอดลม (tracheal resection and anastomosis)  (5000)  </t>
  </si>
  <si>
    <t xml:space="preserve">ศัลยกรรมตัดต่อหลอดลม (tracheal resection and anastomosis)  (6000)  </t>
  </si>
  <si>
    <t xml:space="preserve">ศัลยกรรมแก้ไขภาวะเพดานอ่อนยื่นยาว (resection of elongated soft palates)  (4000)  </t>
  </si>
  <si>
    <t xml:space="preserve">ศัลยกรรมแก้ไขภาวะเพดานอ่อนยื่นยาว (resection of elongated soft palates)  (4500)  </t>
  </si>
  <si>
    <t xml:space="preserve">ศัลยกรรมแก้ไขภาวะเพดานอ่อนยื่นยาว (resection of elongated soft palates)  (5000)  </t>
  </si>
  <si>
    <t xml:space="preserve">ศัลยกรรมแก้ไขภาวะเพดานอ่อนยื่นยาว (resection of elongated soft palates)  (6000)  </t>
  </si>
  <si>
    <t xml:space="preserve">ศัลยกรรมแก้ไขภาวะเพดานอ่อนยื่นยาว (resection of elongated soft palates)  (7000)  </t>
  </si>
  <si>
    <t xml:space="preserve">ศัลยกรรมแก้ไขภาวะเพดานอ่อนยื่นยาว (resection of elongated soft palates)  (8000)  </t>
  </si>
  <si>
    <t xml:space="preserve">ศัลยกรรม everted laryngeal saccules  (4000)  </t>
  </si>
  <si>
    <t xml:space="preserve">ศัลยกรรม everted laryngeal saccules  (4500)  </t>
  </si>
  <si>
    <t xml:space="preserve">ศัลยกรรม everted laryngeal saccules  (5000)  </t>
  </si>
  <si>
    <t xml:space="preserve">ศัลยกรรม everted laryngeal saccules  (5500)  </t>
  </si>
  <si>
    <t xml:space="preserve">ศัลยกรรม everted laryngeal saccules  (6000)  </t>
  </si>
  <si>
    <t xml:space="preserve">ศัลยกรรมหลอดลม  (4000)  </t>
  </si>
  <si>
    <t xml:space="preserve">ศัลยกรรมหลอดลม  (5000)  </t>
  </si>
  <si>
    <t xml:space="preserve">ศัลยกรรมหลอดลม  (6000)  </t>
  </si>
  <si>
    <t xml:space="preserve">ศัลยกรรมหลอดลม  (7000)  </t>
  </si>
  <si>
    <t xml:space="preserve">ศัลยกรรมหลอดลม  (8000)  </t>
  </si>
  <si>
    <t xml:space="preserve">ศัลยกรรมหลอดลม  (10000)  </t>
  </si>
  <si>
    <t xml:space="preserve">ใส่ท่อขยายหลอดลม Treacheal stent (ไม่รวมค่าอุปกรณ์)  (4000)  </t>
  </si>
  <si>
    <t xml:space="preserve">ใส่ท่อขยายหลอดลม Treacheal stent (ไม่รวมค่าอุปกรณ์)  (4500)  </t>
  </si>
  <si>
    <t xml:space="preserve">ใส่ท่อขยายหลอดลม Treacheal stent (ไม่รวมค่าอุปกรณ์)  (5000)  </t>
  </si>
  <si>
    <t xml:space="preserve">ใส่ท่อขยายหลอดลม Treacheal stent (ไม่รวมค่าอุปกรณ์)  (6000)  </t>
  </si>
  <si>
    <t xml:space="preserve">ใส่ท่อขยายหลอดลม Treacheal stent (ไม่รวมค่าอุปกรณ์)  (7000)  </t>
  </si>
  <si>
    <t xml:space="preserve">ใส่ท่อขยายหลอดลม Treacheal stent (ไม่รวมค่าอุปกรณ์)  (8000)  </t>
  </si>
  <si>
    <t xml:space="preserve">ศัลยกรรมเปิดผ่าช่องอกด้านข้าง (Intercostal thoracotomy) เพื่อแก้ไขภาวะผิดปกติต่างๆ  (4000)  </t>
  </si>
  <si>
    <t xml:space="preserve">ศัลยกรรมเปิดผ่าช่องอกด้านข้าง (Intercostal thoracotomy) เพื่อแก้ไขภาวะผิดปกติต่างๆ  (4500)  </t>
  </si>
  <si>
    <t xml:space="preserve">ศัลยกรรมเปิดผ่าช่องอกด้านข้าง (Intercostal thoracotomy) เพื่อแก้ไขภาวะผิดปกติต่างๆ  (5000)  </t>
  </si>
  <si>
    <t xml:space="preserve">ศัลยกรรมเปิดผ่าช่องอกด้านข้าง (Intercostal thoracotomy) เพื่อแก้ไขภาวะผิดปกติต่างๆ  (6000)  </t>
  </si>
  <si>
    <t xml:space="preserve">ศัลยกรรมเปิดผ่าช่องอกด้านข้าง (Intercostal thoracotomy) เพื่อแก้ไขภาวะผิดปกติต่างๆ  (7000)  </t>
  </si>
  <si>
    <t xml:space="preserve">ศัลยกรรมเปิดผ่าช่องอกด้านข้าง (Intercostal thoracotomy) เพื่อแก้ไขภาวะผิดปกติต่างๆ  (8000)  </t>
  </si>
  <si>
    <t xml:space="preserve">ศัลยกรรม เปิดผ่าช่องอกด้านล่าง (Median sternotomy)  เพื่อแก้ไขภาวะผิดปกติต่างๆ  (5000)  </t>
  </si>
  <si>
    <t xml:space="preserve">ศัลยกรรม เปิดผ่าช่องอกด้านล่าง (Median sternotomy)  เพื่อแก้ไขภาวะผิดปกติต่างๆ  (6000)  </t>
  </si>
  <si>
    <t xml:space="preserve">ศัลยกรรม เปิดผ่าช่องอกด้านล่าง (Median sternotomy)  เพื่อแก้ไขภาวะผิดปกติต่างๆ  (7000)  </t>
  </si>
  <si>
    <t xml:space="preserve">ศัลยกรรม เปิดผ่าช่องอกด้านล่าง (Median sternotomy)  เพื่อแก้ไขภาวะผิดปกติต่างๆ  (8000)  </t>
  </si>
  <si>
    <t xml:space="preserve">ศัลยกรรม เปิดผ่าช่องอกด้านล่าง (Median sternotomy)  เพื่อแก้ไขภาวะผิดปกติต่างๆ  (10000)  </t>
  </si>
  <si>
    <t xml:space="preserve">ศัลยกรรมแก้ไขภาสะ Vascular ring abnormality/ Patent ductus arteriosus/ PRAA  (5000)  </t>
  </si>
  <si>
    <t xml:space="preserve">ศัลยกรรมแก้ไขภาสะ Vascular ring abnormality/ Patent ductus arteriosus/ PRAA  (6000)  </t>
  </si>
  <si>
    <t xml:space="preserve">ศัลยกรรมแก้ไขภาสะ Vascular ring abnormality/ Patent ductus arteriosus/ PRAA  (7000)  </t>
  </si>
  <si>
    <t xml:space="preserve">ศัลยกรรมแก้ไขภาสะ Vascular ring abnormality/ Patent ductus arteriosus/ PRAA  (8000)  </t>
  </si>
  <si>
    <t xml:space="preserve">ศัลยกรรม Pericardiectomy  (5000)  </t>
  </si>
  <si>
    <t xml:space="preserve">ศัลยกรรม Pericardiectomy  (6000)  </t>
  </si>
  <si>
    <t xml:space="preserve">ศัลยกรรม Pericardiectomy  (7000)  </t>
  </si>
  <si>
    <t xml:space="preserve">ศัลยกรรม Pericardiectomy  (8000)  </t>
  </si>
  <si>
    <t xml:space="preserve">ศัลยกรรม Lung biopsy  (4000)  </t>
  </si>
  <si>
    <t xml:space="preserve">ศัลยกรรม Lung biopsy  (5000)  </t>
  </si>
  <si>
    <t xml:space="preserve">ศัลยกรรม Lung biopsy  (6000)  </t>
  </si>
  <si>
    <t xml:space="preserve">ศัลยกรรม Lung biopsy  (7000)  </t>
  </si>
  <si>
    <t xml:space="preserve">ศัลยกรรม Lung biopsy  (8000)  </t>
  </si>
  <si>
    <t xml:space="preserve">ศัลยกรรมตัดปอด (Partial/ complete lung lobectomy)  (4000)  </t>
  </si>
  <si>
    <t xml:space="preserve">ศัลยกรรมตัดปอด (Partial/ complete lung lobectomy)  (5000)  </t>
  </si>
  <si>
    <t xml:space="preserve">ศัลยกรรมตัดปอด (Partial/ complete lung lobectomy)  (6000)  </t>
  </si>
  <si>
    <t xml:space="preserve">ศัลยกรรมตัดปอด (Partial/ complete lung lobectomy)  (7000)  </t>
  </si>
  <si>
    <t xml:space="preserve">ศัลยกรรมตัดปอด (Partial/ complete lung lobectomy)  (8000)  </t>
  </si>
  <si>
    <t xml:space="preserve">ศัลยกรรม Thoracic wall trauma correction  (3000)  </t>
  </si>
  <si>
    <t xml:space="preserve">ศัลยกรรม Thoracic wall trauma correction  (4000)  </t>
  </si>
  <si>
    <t xml:space="preserve">ศัลยกรรม Thoracic wall trauma correction  (5000)  </t>
  </si>
  <si>
    <t xml:space="preserve">ศัลยกรรม Thoracic wall trauma correction  (6000)  </t>
  </si>
  <si>
    <t xml:space="preserve">ศัลยกรรม Thoracic wall trauma correction  (7000)  </t>
  </si>
  <si>
    <t xml:space="preserve">ศัลยกรรม Thoracic wall trauma correction  (8000)  </t>
  </si>
  <si>
    <t xml:space="preserve">ศัลยกรรมใส่ Chest tube placement (ไม่รวมค่าท่อ)  (2000)  </t>
  </si>
  <si>
    <t xml:space="preserve">ศัลยกรรมใส่ Chest tube placement (ไม่รวมค่าท่อ)  (2500)  </t>
  </si>
  <si>
    <t xml:space="preserve">ศัลยกรรมใส่ Chest tube placement (ไม่รวมค่าท่อ)  (3000)  </t>
  </si>
  <si>
    <t xml:space="preserve">ศัลยกรรมใส่ Chest tube placement (ไม่รวมค่าท่อ)  (3500)  </t>
  </si>
  <si>
    <t xml:space="preserve">ศัลยกรรมใส่ Chest tube placement (ไม่รวมค่าท่อ)  (4000)  </t>
  </si>
  <si>
    <t xml:space="preserve">ศัลยกรรมใส่ Chest tube placement (ไม่รวมค่าท่อ)  (5000)  </t>
  </si>
  <si>
    <t xml:space="preserve">ศัลยกรรม Diaphargmatic herniorhaphy : cat/ dog &lt; 10 kg  (4000)  </t>
  </si>
  <si>
    <t xml:space="preserve">ศัลยกรรม Diaphargmatic herniorhaphy : cat/ dog &lt; 10 kg  (4500)  </t>
  </si>
  <si>
    <t xml:space="preserve">ศัลยกรรม Diaphargmatic herniorhaphy : cat/ dog &lt; 10 kg  (5000)  </t>
  </si>
  <si>
    <t xml:space="preserve">ศัลยกรรม Diaphargmatic herniorhaphy : cat/ dog &lt; 10 kg  (6000)  </t>
  </si>
  <si>
    <t xml:space="preserve">ศัลยกรรม Diaphargmatic herniorhaphy : dog 10 - 20 kg  (5000)  </t>
  </si>
  <si>
    <t xml:space="preserve">ศัลยกรรม Diaphargmatic herniorhaphy : dog 10 - 20 kg  (5500)  </t>
  </si>
  <si>
    <t xml:space="preserve">ศัลยกรรม Diaphargmatic herniorhaphy : dog 10 - 20 kg  (6000)  </t>
  </si>
  <si>
    <t xml:space="preserve">ศัลยกรรม Diaphargmatic herniorhaphy : dog 10 - 20 kg  (7000)  </t>
  </si>
  <si>
    <t xml:space="preserve">ศัลยกรรม Diaphargmatic herniorhaphy : dog 20 kg ขึ้นไป  (6000)  </t>
  </si>
  <si>
    <t xml:space="preserve">ศัลยกรรม Diaphargmatic herniorhaphy : dog 20 kg ขึ้นไป  (7000)  </t>
  </si>
  <si>
    <t xml:space="preserve">ศัลยกรรม Diaphargmatic herniorhaphy : dog 20 kg ขึ้นไป  (8000)  </t>
  </si>
  <si>
    <t xml:space="preserve">ศัลยกรรมแก้ไข Hiatal hernia  (5000)  </t>
  </si>
  <si>
    <t xml:space="preserve">ศัลยกรรมแก้ไข Hiatal hernia  (5500)  </t>
  </si>
  <si>
    <t xml:space="preserve">ศัลยกรรมแก้ไข Hiatal hernia  (6000)  </t>
  </si>
  <si>
    <t xml:space="preserve">ศัลยกรรมแก้ไข Hiatal hernia  (7000)  </t>
  </si>
  <si>
    <t xml:space="preserve">ศัลยกรรมแก้ไข Hiatal hernia  (8000)  </t>
  </si>
  <si>
    <t xml:space="preserve">ศัลยกรรมแก้ไข Hiatal hernia  (10000)  </t>
  </si>
  <si>
    <t xml:space="preserve">ศัลยกรรม Liver biopsy  (3000)  </t>
  </si>
  <si>
    <t xml:space="preserve">ศัลยกรรม Liver biopsy  (3500)  </t>
  </si>
  <si>
    <t xml:space="preserve">ศัลยกรรม Liver biopsy  (4000)  </t>
  </si>
  <si>
    <t xml:space="preserve">ศัลยกรรม Liver biopsy  (5000)  </t>
  </si>
  <si>
    <t xml:space="preserve">ศัลยกรรม Liver biopsy  (6000)  </t>
  </si>
  <si>
    <t xml:space="preserve">ศัลยกรรม Liver partial/ complete lobectomy  (4000)  </t>
  </si>
  <si>
    <t xml:space="preserve">ศัลยกรรม Liver partial/ complete lobectomy  (4500)  </t>
  </si>
  <si>
    <t xml:space="preserve">ศัลยกรรม Liver partial/ complete lobectomy  (5000)  </t>
  </si>
  <si>
    <t xml:space="preserve">ศัลยกรรม Liver partial/ complete lobectomy  (5500)  </t>
  </si>
  <si>
    <t xml:space="preserve">ศัลยกรรม Liver partial/ complete lobectomy  (6000)  </t>
  </si>
  <si>
    <t xml:space="preserve">ศัลยกรรม Liver partial/ complete lobectomy  (7000)  </t>
  </si>
  <si>
    <t xml:space="preserve">ศัลยกรรม Liver partial/ complete lobectomy  (8000)  </t>
  </si>
  <si>
    <t xml:space="preserve">ศัลยกรรม Cholecytotomy/ cholecytectomy  (4000)  </t>
  </si>
  <si>
    <t xml:space="preserve">ศัลยกรรม Cholecytotomy/ cholecytectomy  (4500)  </t>
  </si>
  <si>
    <t xml:space="preserve">ศัลยกรรม Cholecytotomy/ cholecytectomy  (5000)  </t>
  </si>
  <si>
    <t xml:space="preserve">ศัลยกรรม Cholecytotomy/ cholecytectomy  (5500)  </t>
  </si>
  <si>
    <t xml:space="preserve">ศัลยกรรม Cholecytotomy/ cholecytectomy  (6000)  </t>
  </si>
  <si>
    <t xml:space="preserve">ศัลยกรรม Cholecytotomy/ cholecytectomy  (7000)  </t>
  </si>
  <si>
    <t xml:space="preserve">ศัลยกรรม Cholecytotomy/ cholecytectomy  (8000)  </t>
  </si>
  <si>
    <t xml:space="preserve">ศัลยกรรม Choledochotomy  (4000)  </t>
  </si>
  <si>
    <t xml:space="preserve">ศัลยกรรม Choledochotomy  (4500)  </t>
  </si>
  <si>
    <t xml:space="preserve">ศัลยกรรม Choledochotomy  (5000)  </t>
  </si>
  <si>
    <t xml:space="preserve">ศัลยกรรม Choledochotomy  (5500)  </t>
  </si>
  <si>
    <t xml:space="preserve">ศัลยกรรม Choledochotomy  (6000)  </t>
  </si>
  <si>
    <t xml:space="preserve">ศัลยกรรม Choledochotomy  (7000)  </t>
  </si>
  <si>
    <t xml:space="preserve">ศัลยกรรม Choledochotomy  (8000)  </t>
  </si>
  <si>
    <t xml:space="preserve">ศัลยกรรม Bile flow diversion/ bile duct injuries  (4000)  </t>
  </si>
  <si>
    <t xml:space="preserve">ศัลยกรรม Bile flow diversion/ bile duct injuries  (4500)  </t>
  </si>
  <si>
    <t xml:space="preserve">ศัลยกรรม Bile flow diversion/ bile duct injuries  (5000)  </t>
  </si>
  <si>
    <t xml:space="preserve">ศัลยกรรม Bile flow diversion/ bile duct injuries  (5500)  </t>
  </si>
  <si>
    <t xml:space="preserve">ศัลยกรรม Bile flow diversion/ bile duct injuries  (6000)  </t>
  </si>
  <si>
    <t xml:space="preserve">ศัลยกรรม Bile flow diversion/ bile duct injuries  (7000)  </t>
  </si>
  <si>
    <t xml:space="preserve">ศัลยกรรม Bile flow diversion/ bile duct injuries  (8000)  </t>
  </si>
  <si>
    <t xml:space="preserve">ศัลยกรรม Adrenalectomy  (5500)  </t>
  </si>
  <si>
    <t xml:space="preserve">ศัลยกรรม Adrenalectomy  (6000)  </t>
  </si>
  <si>
    <t xml:space="preserve">ศัลยกรรม Adrenalectomy  (7000)  </t>
  </si>
  <si>
    <t xml:space="preserve">ศัลยกรรม Adrenalectomy  (8000)  </t>
  </si>
  <si>
    <t xml:space="preserve">ศัลยกรรม Pancrease biopsy/ pancreatectomy  (3000)  </t>
  </si>
  <si>
    <t xml:space="preserve">ศัลยกรรม Pancrease biopsy/ pancreatectomy  (3500)  </t>
  </si>
  <si>
    <t xml:space="preserve">ศัลยกรรม Pancrease biopsy/ pancreatectomy  (4000)  </t>
  </si>
  <si>
    <t xml:space="preserve">ศัลยกรรม Pancrease biopsy/ pancreatectomy  (5000)  </t>
  </si>
  <si>
    <t xml:space="preserve">ศัลยกรรม Pancrease biopsy/ pancreatectomy  (6000)  </t>
  </si>
  <si>
    <t xml:space="preserve">ศัลยกรรม Thyriodectomy  (4000)  </t>
  </si>
  <si>
    <t xml:space="preserve">ศัลยกรรม Thyriodectomy  (4500)  </t>
  </si>
  <si>
    <t xml:space="preserve">ศัลยกรรม Thyriodectomy  (5000)  </t>
  </si>
  <si>
    <t xml:space="preserve">ศัลยกรรม Thyriodectomy  (5500)  </t>
  </si>
  <si>
    <t xml:space="preserve">ศัลยกรรม Thyriodectomy  (6000)  </t>
  </si>
  <si>
    <t xml:space="preserve">ศัลยกรรม Thyriodectomy  (7000)  </t>
  </si>
  <si>
    <t xml:space="preserve">ศัลยกรรม Thyriodectomy  (8000)  </t>
  </si>
  <si>
    <t xml:space="preserve">ศัลยกรรม Gastrotomy  (3000)  </t>
  </si>
  <si>
    <t xml:space="preserve">ศัลยกรรม Gastrotomy  (3500)  </t>
  </si>
  <si>
    <t xml:space="preserve">ศัลยกรรม Gastrotomy  (4000)  </t>
  </si>
  <si>
    <t xml:space="preserve">ศัลยกรรม Gastrotomy  (5000)  </t>
  </si>
  <si>
    <t xml:space="preserve">ศัลยกรรม Gastrotomy  (6000)  </t>
  </si>
  <si>
    <t xml:space="preserve">ศัลยกรรม Gastrotomy tube placement (ไม่รวมค่าท่อ)  (3000)  </t>
  </si>
  <si>
    <t xml:space="preserve">ศัลยกรรม Gastrotomy tube placement (ไม่รวมค่าท่อ)  (3500)  </t>
  </si>
  <si>
    <t xml:space="preserve">ศัลยกรรม Gastrotomy tube placement (ไม่รวมค่าท่อ)  (4000)  </t>
  </si>
  <si>
    <t xml:space="preserve">ศัลยกรรม Gastrotomy tube placement (ไม่รวมค่าท่อ)  (5000)  </t>
  </si>
  <si>
    <t xml:space="preserve">ศัลยกรรม Gastrotomy tube placement (ไม่รวมค่าท่อ)  (6000)  </t>
  </si>
  <si>
    <t xml:space="preserve">ศัลยกรรม Gastrectomy, Pylorectomy, Pyloromyotomy  (3000)  </t>
  </si>
  <si>
    <t xml:space="preserve">ศัลยกรรม Gastrectomy, Pylorectomy, Pyloromyotomy  (3500)  </t>
  </si>
  <si>
    <t xml:space="preserve">ศัลยกรรม Gastrectomy, Pylorectomy, Pyloromyotomy  (4000)  </t>
  </si>
  <si>
    <t xml:space="preserve">ศัลยกรรม Gastrectomy, Pylorectomy, Pyloromyotomy  (5000)  </t>
  </si>
  <si>
    <t xml:space="preserve">ศัลยกรรม Gastrectomy, Pylorectomy, Pyloromyotomy  (6000)  </t>
  </si>
  <si>
    <t xml:space="preserve">ศัลยกรรม GDV, Gastropexy, Pyloropexy  (3000)  </t>
  </si>
  <si>
    <t xml:space="preserve">ศัลยกรรม GDV, Gastropexy, Pyloropexy  (3500)  </t>
  </si>
  <si>
    <t xml:space="preserve">ศัลยกรรม GDV, Gastropexy, Pyloropexy  (4000)  </t>
  </si>
  <si>
    <t xml:space="preserve">ศัลยกรรม GDV, Gastropexy, Pyloropexy  (5000)  </t>
  </si>
  <si>
    <t xml:space="preserve">ศัลยกรรม GDV, Gastropexy, Pyloropexy  (6000)  </t>
  </si>
  <si>
    <t xml:space="preserve">ศัลยกรรมเปิดผ่าลำไส้ (Enterotomy)  (4000)  </t>
  </si>
  <si>
    <t xml:space="preserve">ศัลยกรรมเปิดผ่าลำไส้ (Enterotomy)  (4500)  </t>
  </si>
  <si>
    <t xml:space="preserve">ศัลยกรรมเปิดผ่าลำไส้ (Enterotomy)  (5000)  </t>
  </si>
  <si>
    <t xml:space="preserve">ศัลยกรรมเปิดผ่าลำไส้ (Enterotomy)  (5500)  </t>
  </si>
  <si>
    <t xml:space="preserve">ศัลยกรรมเปิดผ่าลำไส้ (Enterotomy)  (6000)  </t>
  </si>
  <si>
    <t xml:space="preserve">ศัลยกรรมเปิดผ่าลำไส้ (Enterotomy)  (7000)  </t>
  </si>
  <si>
    <t xml:space="preserve">ศัลยกรรมเปิดผ่าลำไส้ (Enterotomy)  (8000)  </t>
  </si>
  <si>
    <t xml:space="preserve">ศัลยกรรมตัดต่อลำไส้ (Intestinal resection and anatomosis)  (4000)  </t>
  </si>
  <si>
    <t xml:space="preserve">ศัลยกรรมตัดต่อลำไส้ (Intestinal resection and anatomosis)  (4500)  </t>
  </si>
  <si>
    <t xml:space="preserve">ศัลยกรรมตัดต่อลำไส้ (Intestinal resection and anatomosis)  (5000)  </t>
  </si>
  <si>
    <t xml:space="preserve">ศัลยกรรมตัดต่อลำไส้ (Intestinal resection and anatomosis)  (5500)  </t>
  </si>
  <si>
    <t xml:space="preserve">ศัลยกรรมตัดต่อลำไส้ (Intestinal resection and anatomosis)  (6000)  </t>
  </si>
  <si>
    <t xml:space="preserve">ศัลยกรรมตัดต่อลำไส้ (Intestinal resection and anatomosis)  (7000)  </t>
  </si>
  <si>
    <t xml:space="preserve">ศัลยกรรมตัดต่อลำไส้ (Intestinal resection and anatomosis)  (8000)  </t>
  </si>
  <si>
    <t xml:space="preserve">ศัลยกรรม Intestinal biopsy  (3000)  </t>
  </si>
  <si>
    <t xml:space="preserve">ศัลยกรรม Intestinal biopsy  (3500)  </t>
  </si>
  <si>
    <t xml:space="preserve">ศัลยกรรม Intestinal biopsy  (4000)  </t>
  </si>
  <si>
    <t xml:space="preserve">ศัลยกรรม Intestinal biopsy  (5000)  </t>
  </si>
  <si>
    <t xml:space="preserve">ศัลยกรรม Intestinal biopsy  (6000)  </t>
  </si>
  <si>
    <t xml:space="preserve">ศัลยกรรม Bowel plication   (4000)  </t>
  </si>
  <si>
    <t xml:space="preserve">ศัลยกรรม Bowel plication   (4500)  </t>
  </si>
  <si>
    <t xml:space="preserve">ศัลยกรรม Bowel plication   (5000)  </t>
  </si>
  <si>
    <t xml:space="preserve">ศัลยกรรม Bowel plication   (5500)  </t>
  </si>
  <si>
    <t xml:space="preserve">ศัลยกรรม Bowel plication   (6000)  </t>
  </si>
  <si>
    <t xml:space="preserve">ศัลยกรรม Bowel plication   (7000)  </t>
  </si>
  <si>
    <t xml:space="preserve">ศัลยกรรม Bowel plication   (8000)  </t>
  </si>
  <si>
    <t xml:space="preserve">ศัลยกรรม Colostomy  (4000)  </t>
  </si>
  <si>
    <t xml:space="preserve">ศัลยกรรม Colostomy  (4500)  </t>
  </si>
  <si>
    <t xml:space="preserve">ศัลยกรรม Colostomy  (5000)  </t>
  </si>
  <si>
    <t xml:space="preserve">ศัลยกรรม Colostomy  (5500)  </t>
  </si>
  <si>
    <t xml:space="preserve">ศัลยกรรม Colostomy  (6000)  </t>
  </si>
  <si>
    <t xml:space="preserve">ศัลยกรรม Colostomy  (7000)  </t>
  </si>
  <si>
    <t xml:space="preserve">ศัลยกรรม Colostomy  (8000)  </t>
  </si>
  <si>
    <t xml:space="preserve">ศัลยกรรม Colopexy  (4000)  </t>
  </si>
  <si>
    <t xml:space="preserve">ศัลยกรรม Colopexy  (4500)  </t>
  </si>
  <si>
    <t xml:space="preserve">ศัลยกรรม Colopexy  (5000)  </t>
  </si>
  <si>
    <t xml:space="preserve">ศัลยกรรม Colopexy  (5500)  </t>
  </si>
  <si>
    <t xml:space="preserve">ศัลยกรรม Colopexy  (6000)  </t>
  </si>
  <si>
    <t xml:space="preserve">ศัลยกรรม Colopexy  (7000)  </t>
  </si>
  <si>
    <t xml:space="preserve">ศัลยกรรม Colopexy  (8000)  </t>
  </si>
  <si>
    <t xml:space="preserve">ศัลยกรรม Typhlectomy  (4000)  </t>
  </si>
  <si>
    <t xml:space="preserve">ศัลยกรรม Typhlectomy  (4500)  </t>
  </si>
  <si>
    <t xml:space="preserve">ศัลยกรรม Typhlectomy  (5000)  </t>
  </si>
  <si>
    <t xml:space="preserve">ศัลยกรรม Typhlectomy  (5500)  </t>
  </si>
  <si>
    <t xml:space="preserve">ศัลยกรรม Typhlectomy  (6000)  </t>
  </si>
  <si>
    <t xml:space="preserve">ศัลยกรรม Typhlectomy  (7000)  </t>
  </si>
  <si>
    <t xml:space="preserve">ศัลยกรรม Typhlectomy  (8000)  </t>
  </si>
  <si>
    <t xml:space="preserve">ศัลยกรรม Rectal resectomy  (4000)  </t>
  </si>
  <si>
    <t xml:space="preserve">ศัลยกรรม Rectal resectomy  (4500)  </t>
  </si>
  <si>
    <t xml:space="preserve">ศัลยกรรม Rectal resectomy  (5000)  </t>
  </si>
  <si>
    <t xml:space="preserve">ศัลยกรรม Rectal resectomy  (5500)  </t>
  </si>
  <si>
    <t xml:space="preserve">ศัลยกรรม Rectal resectomy  (6000)  </t>
  </si>
  <si>
    <t xml:space="preserve">ศัลยกรรม Rectal resectomy  (7000)  </t>
  </si>
  <si>
    <t xml:space="preserve">ศัลยกรรม Rectal resectomy  (8000)  </t>
  </si>
  <si>
    <t xml:space="preserve">ศัลยกรรม Rectal reduction + Purse string  (3000)  </t>
  </si>
  <si>
    <t xml:space="preserve">ศัลยกรรม Rectal reduction + Purse string  (3500)  </t>
  </si>
  <si>
    <t xml:space="preserve">ศัลยกรรม Rectal reduction + Purse string  (4000)  </t>
  </si>
  <si>
    <t xml:space="preserve">ศัลยกรรม Rectal reduction + Purse string  (5000)  </t>
  </si>
  <si>
    <t xml:space="preserve">ศัลยกรรม Anal sacculectomy, Anal neoplasia  (4000)  </t>
  </si>
  <si>
    <t xml:space="preserve">ศัลยกรรม Anal sacculectomy, Anal neoplasia  (4500)  </t>
  </si>
  <si>
    <t xml:space="preserve">ศัลยกรรม Anal sacculectomy, Anal neoplasia  (5000)  </t>
  </si>
  <si>
    <t xml:space="preserve">ศัลยกรรม Anal sacculectomy, Anal neoplasia  (5500)  </t>
  </si>
  <si>
    <t xml:space="preserve">ศัลยกรรม Anal sacculectomy, Anal neoplasia  (6000)  </t>
  </si>
  <si>
    <t xml:space="preserve">ศัลยกรรม Anal sacculectomy, Anal neoplasia  (7000)  </t>
  </si>
  <si>
    <t xml:space="preserve">ศัลยกรรม Anal sacculectomy, Anal neoplasia  (8000)  </t>
  </si>
  <si>
    <t xml:space="preserve">ศัลยกรรม Atresia ani, Rectoperitoneal fistula  (4000)  </t>
  </si>
  <si>
    <t xml:space="preserve">ศัลยกรรม Atresia ani, Rectoperitoneal fistula  (4500)  </t>
  </si>
  <si>
    <t xml:space="preserve">ศัลยกรรม Atresia ani, Rectoperitoneal fistula  (5000)  </t>
  </si>
  <si>
    <t xml:space="preserve">ศัลยกรรม Atresia ani, Rectoperitoneal fistula  (5500)  </t>
  </si>
  <si>
    <t xml:space="preserve">ศัลยกรรม Atresia ani, Rectoperitoneal fistula  (6000)  </t>
  </si>
  <si>
    <t xml:space="preserve">ศัลยกรรม Atresia ani, Rectoperitoneal fistula  (7000)  </t>
  </si>
  <si>
    <t xml:space="preserve">ศัลยกรรม Atresia ani, Rectoperitoneal fistula  (8000)  </t>
  </si>
  <si>
    <t xml:space="preserve">ศัลยกรรมแก้ไขลำไส้กลืนกัน (Intussusception)  (4000)  </t>
  </si>
  <si>
    <t xml:space="preserve">ศัลยกรรมแก้ไขลำไส้กลืนกัน (Intussusception)  (4500)  </t>
  </si>
  <si>
    <t xml:space="preserve">ศัลยกรรมแก้ไขลำไส้กลืนกัน (Intussusception)  (5000)  </t>
  </si>
  <si>
    <t xml:space="preserve">ศัลยกรรมแก้ไขลำไส้กลืนกัน (Intussusception)  (5500)  </t>
  </si>
  <si>
    <t xml:space="preserve">ศัลยกรรมแก้ไขลำไส้กลืนกัน (Intussusception)  (6000)  </t>
  </si>
  <si>
    <t xml:space="preserve">ศัลยกรรมแก้ไขลำไส้กลืนกัน (Intussusception)  (7000)  </t>
  </si>
  <si>
    <t xml:space="preserve">ศัลยกรรมแก้ไขลำไส้กลืนกัน (Intussusception)  (8000)  </t>
  </si>
  <si>
    <t xml:space="preserve">ศัลยกรรม Renal biopsy  (4000)  </t>
  </si>
  <si>
    <t xml:space="preserve">ศัลยกรรม Renal biopsy  (4500)  </t>
  </si>
  <si>
    <t xml:space="preserve">ศัลยกรรม Renal biopsy  (5000)  </t>
  </si>
  <si>
    <t xml:space="preserve">ศัลยกรรม Renal biopsy  (5500)  </t>
  </si>
  <si>
    <t xml:space="preserve">ศัลยกรรม Renal biopsy  (6000)  </t>
  </si>
  <si>
    <t xml:space="preserve">ศัลยกรรม Renal biopsy  (7000)  </t>
  </si>
  <si>
    <t xml:space="preserve">ศัลยกรรม Renal biopsy  (8000)  </t>
  </si>
  <si>
    <t xml:space="preserve">ศัลยกรรม Nephrectomy/ nephrotomy/ pyelolithotomy  (4000)  </t>
  </si>
  <si>
    <t xml:space="preserve">ศัลยกรรม Nephrectomy/ nephrotomy/ pyelolithotomy  (4500)  </t>
  </si>
  <si>
    <t xml:space="preserve">ศัลยกรรม Nephrectomy/ nephrotomy/ pyelolithotomy  (5000)  </t>
  </si>
  <si>
    <t xml:space="preserve">ศัลยกรรม Nephrectomy/ nephrotomy/ pyelolithotomy  (5500)  </t>
  </si>
  <si>
    <t xml:space="preserve">ศัลยกรรม Nephrectomy/ nephrotomy/ pyelolithotomy  (6000)  </t>
  </si>
  <si>
    <t xml:space="preserve">ศัลยกรรม Nephrectomy/ nephrotomy/ pyelolithotomy  (7000)  </t>
  </si>
  <si>
    <t xml:space="preserve">ศัลยกรรม Nephrectomy/ nephrotomy/ pyelolithotomy  (8000)  </t>
  </si>
  <si>
    <t xml:space="preserve">ศัลยกรรม Urethrostomy  (4000)  </t>
  </si>
  <si>
    <t xml:space="preserve">ศัลยกรรม Urethrostomy  (4500)  </t>
  </si>
  <si>
    <t xml:space="preserve">ศัลยกรรม Urethrostomy  (5000)  </t>
  </si>
  <si>
    <t xml:space="preserve">ศัลยกรรม Urethrostomy  (5500)  </t>
  </si>
  <si>
    <t xml:space="preserve">ศัลยกรรม Urethrostomy  (6000)  </t>
  </si>
  <si>
    <t xml:space="preserve">ศัลยกรรม Urethrostomy  (7000)  </t>
  </si>
  <si>
    <t xml:space="preserve">ศัลยกรรม Urethrostomy  (8000)  </t>
  </si>
  <si>
    <t xml:space="preserve">ศัลยกรรม Ureteral anastomosis  (4000)  </t>
  </si>
  <si>
    <t xml:space="preserve">ศัลยกรรม Ureteral anastomosis  (4500)  </t>
  </si>
  <si>
    <t xml:space="preserve">ศัลยกรรม Ureteral anastomosis  (5000)  </t>
  </si>
  <si>
    <t xml:space="preserve">ศัลยกรรม Ureteral anastomosis  (5500)  </t>
  </si>
  <si>
    <t xml:space="preserve">ศัลยกรรม Ureteral anastomosis  (6000)  </t>
  </si>
  <si>
    <t xml:space="preserve">ศัลยกรรม Ureteral anastomosis  (7000)  </t>
  </si>
  <si>
    <t xml:space="preserve">ศัลยกรรม Ureteral anastomosis  (8000)  </t>
  </si>
  <si>
    <t xml:space="preserve">ศัลยกรรม Nephropyelostomy tube placment  (5000)  </t>
  </si>
  <si>
    <t xml:space="preserve">ศัลยกรรม Nephropyelostomy tube placment  (5500)  </t>
  </si>
  <si>
    <t xml:space="preserve">ศัลยกรรม Nephropyelostomy tube placment  (6000)  </t>
  </si>
  <si>
    <t xml:space="preserve">ศัลยกรรม Nephropyelostomy tube placment  (7000)  </t>
  </si>
  <si>
    <t xml:space="preserve">ศัลยกรรม Nephropyelostomy tube placment  (8000)  </t>
  </si>
  <si>
    <t xml:space="preserve">ศัลยกรรม Neoureterostomy/ ureteroneocystostomy  (5000)  </t>
  </si>
  <si>
    <t xml:space="preserve">ศัลยกรรม Neoureterostomy/ ureteroneocystostomy  (5500)  </t>
  </si>
  <si>
    <t xml:space="preserve">ศัลยกรรม Neoureterostomy/ ureteroneocystostomy  (6000)  </t>
  </si>
  <si>
    <t xml:space="preserve">ศัลยกรรม Neoureterostomy/ ureteroneocystostomy  (7000)  </t>
  </si>
  <si>
    <t xml:space="preserve">ศัลยกรรม Neoureterostomy/ ureteroneocystostomy  (8000)  </t>
  </si>
  <si>
    <t xml:space="preserve">ศัลยกรรม Cystotomy : cat  (3000)  </t>
  </si>
  <si>
    <t xml:space="preserve">ศัลยกรรม Cystotomy : cat  (3500)  </t>
  </si>
  <si>
    <t xml:space="preserve">ศัลยกรรม Cystotomy : cat  (4000)  </t>
  </si>
  <si>
    <t xml:space="preserve">ศัลยกรรม Cystotomy : cat  (5000)  </t>
  </si>
  <si>
    <t xml:space="preserve">ศัลยกรรม Cystotomy : cat  (6000)  </t>
  </si>
  <si>
    <t xml:space="preserve">ศัลยกรรม Cystotomy : dog &lt; 10 kg  (3500)  </t>
  </si>
  <si>
    <t xml:space="preserve">ศัลยกรรม Cystotomy : dog &lt; 10 kg  (4000)  </t>
  </si>
  <si>
    <t xml:space="preserve">ศัลยกรรม Cystotomy : dog &lt; 10 kg  (5000)  </t>
  </si>
  <si>
    <t xml:space="preserve">ศัลยกรรม Cystotomy : dog 10 - 20 kg  (4000)  </t>
  </si>
  <si>
    <t xml:space="preserve">ศัลยกรรม Cystotomy : dog 10 - 20 kg  (4500)  </t>
  </si>
  <si>
    <t xml:space="preserve">ศัลยกรรม Cystotomy : dog 10 - 20 kg  (5000)  </t>
  </si>
  <si>
    <t xml:space="preserve">ศัลยกรรม Cystotomy : dog 10 - 20 kg  (6000)  </t>
  </si>
  <si>
    <t xml:space="preserve">ศัลยกรรม Cystotomy : dog 20 - 30 kg   (4500)  </t>
  </si>
  <si>
    <t xml:space="preserve">ศัลยกรรม Cystotomy : dog 20 - 30 kg   (5000)  </t>
  </si>
  <si>
    <t xml:space="preserve">ศัลยกรรม Cystotomy : dog 20 - 30 kg   (6000)  </t>
  </si>
  <si>
    <t xml:space="preserve">ศัลยกรรม Cystotomy : dog 30 kg ขึ้นไป   (5000)  </t>
  </si>
  <si>
    <t xml:space="preserve">ศัลยกรรม Cystotomy : dog 30 kg ขึ้นไป   (5500)  </t>
  </si>
  <si>
    <t xml:space="preserve">ศัลยกรรม Cystotomy : dog 30 kg ขึ้นไป   (6000)  </t>
  </si>
  <si>
    <t xml:space="preserve">ศัลยกรรม Cystotomy : dog 30 kg ขึ้นไป   (7000)  </t>
  </si>
  <si>
    <t xml:space="preserve">ศัลยกรรม Cystotomy : dog 30 kg ขึ้นไป   (8000)  </t>
  </si>
  <si>
    <t xml:space="preserve">ศัลยกรรมแก้ไข UB rupture : cat  (3000)  </t>
  </si>
  <si>
    <t xml:space="preserve">ศัลยกรรมแก้ไข UB rupture : cat  (3500)  </t>
  </si>
  <si>
    <t xml:space="preserve">ศัลยกรรมแก้ไข UB rupture : cat  (4000)  </t>
  </si>
  <si>
    <t xml:space="preserve">ศัลยกรรมแก้ไข UB rupture : cat  (5000)  </t>
  </si>
  <si>
    <t xml:space="preserve">ศัลยกรรมแก้ไข UB rupture : cat  (6000)  </t>
  </si>
  <si>
    <t xml:space="preserve">ศัลยกรรมแก้ไข UB rupture : dog &lt; 10 kg  (3500)  </t>
  </si>
  <si>
    <t xml:space="preserve">ศัลยกรรมแก้ไข UB rupture : dog &lt; 10 kg  (4000)  </t>
  </si>
  <si>
    <t xml:space="preserve">ศัลยกรรมแก้ไข UB rupture : dog &lt; 10 kg  (5000)  </t>
  </si>
  <si>
    <t xml:space="preserve">ศัลยกรรมแก้ไข UB rupture : dog 10 - 20 kg  (4000)  </t>
  </si>
  <si>
    <t xml:space="preserve">ศัลยกรรมแก้ไข UB rupture : dog 10 - 20 kg  (5000)  </t>
  </si>
  <si>
    <t xml:space="preserve">ศัลยกรรมแก้ไข UB rupture : dog 10 - 20 kg  (6000)  </t>
  </si>
  <si>
    <t xml:space="preserve">ศัลยกรรมแก้ไข UB rupture : dog 20 - 30 kg  (4500)  </t>
  </si>
  <si>
    <t xml:space="preserve">ศัลยกรรมแก้ไข UB rupture : dog 20 - 30 kg  (5000)  </t>
  </si>
  <si>
    <t xml:space="preserve">ศัลยกรรมแก้ไข UB rupture : dog 20 - 30 kg  (5500)  </t>
  </si>
  <si>
    <t xml:space="preserve">ศัลยกรรมแก้ไข UB rupture : dog 20 - 30 kg  (6000)  </t>
  </si>
  <si>
    <t xml:space="preserve">ศัลยกรรมแก้ไข UB rupture : dog 20 - 30 kg  (6500)  </t>
  </si>
  <si>
    <t xml:space="preserve">ศัลยกรรมแก้ไข UB rupture : dog 30 kg ขึ้นไป  (5000)  </t>
  </si>
  <si>
    <t xml:space="preserve">ศัลยกรรมแก้ไข UB rupture : dog 30 kg ขึ้นไป  (5500)  </t>
  </si>
  <si>
    <t xml:space="preserve">ศัลยกรรมแก้ไข UB rupture : dog 30 kg ขึ้นไป  (6000)  </t>
  </si>
  <si>
    <t xml:space="preserve">ศัลยกรรมแก้ไข UB rupture : dog 30 kg ขึ้นไป  (7000)  </t>
  </si>
  <si>
    <t xml:space="preserve">ศัลยกรรมแก้ไข UB rupture : dog 30 kg ขึ้นไป  (8000)  </t>
  </si>
  <si>
    <t xml:space="preserve">ศัลยกรรม urinary diversion  (5000)  </t>
  </si>
  <si>
    <t xml:space="preserve">ศัลยกรรม urinary diversion  (5500)  </t>
  </si>
  <si>
    <t xml:space="preserve">ศัลยกรรม urinary diversion  (6000)  </t>
  </si>
  <si>
    <t xml:space="preserve">ศัลยกรรม urinary diversion  (7000)  </t>
  </si>
  <si>
    <t xml:space="preserve">ศัลยกรรม urinary diversion  (8000)  </t>
  </si>
  <si>
    <t xml:space="preserve">ศัลยกรรม intrapelvic urethral anastomosis  (5000)  </t>
  </si>
  <si>
    <t xml:space="preserve">ศัลยกรรม intrapelvic urethral anastomosis  (5500)  </t>
  </si>
  <si>
    <t xml:space="preserve">ศัลยกรรม intrapelvic urethral anastomosis  (6000)  </t>
  </si>
  <si>
    <t xml:space="preserve">ศัลยกรรม intrapelvic urethral anastomosis  (7000)  </t>
  </si>
  <si>
    <t xml:space="preserve">ศัลยกรรม intrapelvic urethral anastomosis  (8000)  </t>
  </si>
  <si>
    <t xml:space="preserve">ศัลยกรรม transpelvic urethrostomy  (5000)  </t>
  </si>
  <si>
    <t xml:space="preserve">ศัลยกรรม transpelvic urethrostomy  (5500)  </t>
  </si>
  <si>
    <t xml:space="preserve">ศัลยกรรม transpelvic urethrostomy  (6000)  </t>
  </si>
  <si>
    <t xml:space="preserve">ศัลยกรรม transpelvic urethrostomy  (7000)  </t>
  </si>
  <si>
    <t xml:space="preserve">ศัลยกรรม transpelvic urethrostomy  (8000)  </t>
  </si>
  <si>
    <t xml:space="preserve">ศัลยกรรม prescrotal/ scratal urethrostomy  (5000)  </t>
  </si>
  <si>
    <t xml:space="preserve">ศัลยกรรม prescrotal/ scratal urethrostomy  (5500)  </t>
  </si>
  <si>
    <t xml:space="preserve">ศัลยกรรม prescrotal/ scratal urethrostomy  (6000)  </t>
  </si>
  <si>
    <t xml:space="preserve">ศัลยกรรม prescrotal/ scratal urethrostomy  (7000)  </t>
  </si>
  <si>
    <t xml:space="preserve">ศัลยกรรม prescrotal/ scratal urethrostomy  (8000)  </t>
  </si>
  <si>
    <t xml:space="preserve">ศัลยกรรม perineal urethrostomy  (5000)  </t>
  </si>
  <si>
    <t xml:space="preserve">ศัลยกรรม perineal urethrostomy  (5500)  </t>
  </si>
  <si>
    <t xml:space="preserve">ศัลยกรรม perineal urethrostomy  (6000)  </t>
  </si>
  <si>
    <t xml:space="preserve">ศัลยกรรม perineal urethrostomy  (7000)  </t>
  </si>
  <si>
    <t xml:space="preserve">ศัลยกรรม perineal urethrostomy  (8000)  </t>
  </si>
  <si>
    <t xml:space="preserve">ศัลยกรรม prepubic/ subpubic urethrostomy  (5000)  </t>
  </si>
  <si>
    <t xml:space="preserve">ศัลยกรรม prepubic/ subpubic urethrostomy  (5500)  </t>
  </si>
  <si>
    <t xml:space="preserve">ศัลยกรรม prepubic/ subpubic urethrostomy  (6000)  </t>
  </si>
  <si>
    <t xml:space="preserve">ศัลยกรรม prepubic/ subpubic urethrostomy  (7000)  </t>
  </si>
  <si>
    <t xml:space="preserve">ศัลยกรรม prepubic/ subpubic urethrostomy  (8000)  </t>
  </si>
  <si>
    <t xml:space="preserve">ศัลยกรรม resection of the prolapse urethral (ไม่รวมค่าท่อ)  (4000)  </t>
  </si>
  <si>
    <t xml:space="preserve">ศัลยกรรม resection of the prolapse urethral (ไม่รวมค่าท่อ)  (4500)  </t>
  </si>
  <si>
    <t xml:space="preserve">ศัลยกรรม resection of the prolapse urethral (ไม่รวมค่าท่อ)  (5000)  </t>
  </si>
  <si>
    <t xml:space="preserve">ศัลยกรรม resection of the prolapse urethral (ไม่รวมค่าท่อ)  (6000)  </t>
  </si>
  <si>
    <t xml:space="preserve">ศัลยกรรม urethropexy  (5000)  </t>
  </si>
  <si>
    <t xml:space="preserve">ศัลยกรรม urethropexy  (5500)  </t>
  </si>
  <si>
    <t xml:space="preserve">ศัลยกรรม urethropexy  (6000)  </t>
  </si>
  <si>
    <t xml:space="preserve">ศัลยกรรม urethropexy  (7000)  </t>
  </si>
  <si>
    <t xml:space="preserve">ศัลยกรรม urethropexy  (8000)  </t>
  </si>
  <si>
    <t xml:space="preserve">ศัลยกรรมแก้ไข Perineal hernia 1 ข้าง  (4000)  </t>
  </si>
  <si>
    <t xml:space="preserve">ศัลยกรรมแก้ไข Perineal hernia 1 ข้าง  (4500)  </t>
  </si>
  <si>
    <t xml:space="preserve">ศัลยกรรมแก้ไข Perineal hernia 1 ข้าง  (5000)  </t>
  </si>
  <si>
    <t xml:space="preserve">ศัลยกรรมแก้ไข Perineal hernia 1 ข้าง  (6000)  </t>
  </si>
  <si>
    <t xml:space="preserve">ศัลยกรรมแก้ไข Perineal hernia 1 ข้าง  (7000)  </t>
  </si>
  <si>
    <t xml:space="preserve">ศัลยกรรมแก้ไข Perineal hernia 1 ข้าง  (8000)  </t>
  </si>
  <si>
    <t xml:space="preserve">ศัลยกรรมแก้ไข Perineal hernia 2 ข้าง  (6000)  </t>
  </si>
  <si>
    <t xml:space="preserve">ศัลยกรรมแก้ไข Perineal hernia 2 ข้าง  (7000)  </t>
  </si>
  <si>
    <t xml:space="preserve">ศัลยกรรมแก้ไข Perineal hernia 2 ข้าง  (8000)  </t>
  </si>
  <si>
    <t xml:space="preserve">ศัลยกรรมแก้ไข Perineal hernia โดยใช้ mesh (1ชิ้น/ข้าง)  (6000)  </t>
  </si>
  <si>
    <t xml:space="preserve">ศัลยกรรมแก้ไข Perineal hernia โดยใช้ mesh (1ชิ้น/ข้าง)  (7000)  </t>
  </si>
  <si>
    <t xml:space="preserve">ศัลยกรรมแก้ไข Perineal hernia โดยใช้ mesh (1ชิ้น/ข้าง)  (8000)  </t>
  </si>
  <si>
    <t xml:space="preserve">ศัลยกรรมแก้ไข Umbilical hernia  (3000)  </t>
  </si>
  <si>
    <t xml:space="preserve">ศัลยกรรมแก้ไข Umbilical hernia  (3500)  </t>
  </si>
  <si>
    <t xml:space="preserve">ศัลยกรรมแก้ไข Umbilical hernia  (4000)  </t>
  </si>
  <si>
    <t xml:space="preserve">ศัลยกรรมแก้ไข Umbilical hernia  (5000)  </t>
  </si>
  <si>
    <t xml:space="preserve">ศัลยกรรมแก้ไข Scrotal hernia  (3000)  </t>
  </si>
  <si>
    <t xml:space="preserve">ศัลยกรรมแก้ไข Scrotal hernia  (3500)  </t>
  </si>
  <si>
    <t xml:space="preserve">ศัลยกรรมแก้ไข Scrotal hernia  (4000)  </t>
  </si>
  <si>
    <t xml:space="preserve">ศัลยกรรมแก้ไข Scrotal hernia  (5000)  </t>
  </si>
  <si>
    <t xml:space="preserve">ศัลยกรรมแก้ไข Inguinal hernia  (4000)  </t>
  </si>
  <si>
    <t xml:space="preserve">ศัลยกรรมแก้ไข Inguinal hernia  (4500)  </t>
  </si>
  <si>
    <t xml:space="preserve">ศัลยกรรมแก้ไข Inguinal hernia  (5000)  </t>
  </si>
  <si>
    <t xml:space="preserve">ศัลยกรรมแก้ไข Inguinal hernia  (6000)  </t>
  </si>
  <si>
    <t xml:space="preserve">ศัลยกรรมแก้ไข Abdominal hernia  (3000)  </t>
  </si>
  <si>
    <t xml:space="preserve">ศัลยกรรมแก้ไข Abdominal hernia  (3500)  </t>
  </si>
  <si>
    <t xml:space="preserve">ศัลยกรรมแก้ไข Abdominal hernia  (4000)  </t>
  </si>
  <si>
    <t xml:space="preserve">ศัลยกรรมแก้ไข Abdominal hernia  (5000)  </t>
  </si>
  <si>
    <t xml:space="preserve">ศัลยกรรมแก้ไข Abdominal hernia  (6000)  </t>
  </si>
  <si>
    <t xml:space="preserve">ศัลยกรรมแก้ไข Abdominal hernia  (7000)  </t>
  </si>
  <si>
    <t xml:space="preserve">ศัลยกรรมแก้ไข Abdominal hernia  (8000)  </t>
  </si>
  <si>
    <t xml:space="preserve">ศัลยกรรมแก้ไข Prepubic hernia  (4000)  </t>
  </si>
  <si>
    <t xml:space="preserve">ศัลยกรรมแก้ไข Prepubic hernia  (4500)  </t>
  </si>
  <si>
    <t xml:space="preserve">ศัลยกรรมแก้ไข Prepubic hernia  (5000)  </t>
  </si>
  <si>
    <t xml:space="preserve">ศัลยกรรมแก้ไข Prepubic hernia  (6000)  </t>
  </si>
  <si>
    <t xml:space="preserve">   แมวเพศผู้  (1000)  </t>
  </si>
  <si>
    <t xml:space="preserve">   แมวเพศเมีย  (1500)  </t>
  </si>
  <si>
    <t xml:space="preserve">   สุนัขเพศผู้ น้ำหนัก &lt; 10 กก.  (1500)  </t>
  </si>
  <si>
    <t xml:space="preserve">   สุนัขเพศผู้ น้ำหนัก 11 - 20 กก.  (2000)  </t>
  </si>
  <si>
    <t xml:space="preserve">   สุนัขเพศผู้ น้ำหนัก 21 - 30 กก.  (2500)  </t>
  </si>
  <si>
    <t xml:space="preserve">   สุนัขเพศผู้ น้ำหนัก &gt; 31 กก.  (3000)  </t>
  </si>
  <si>
    <t xml:space="preserve">   สุนัขเพศผู้ น้ำหนัก &gt; 31 กก.  (3500)  </t>
  </si>
  <si>
    <t xml:space="preserve">   สุนัขเพศผู้ น้ำหนัก &gt; 31 กก.  (4000)  </t>
  </si>
  <si>
    <t xml:space="preserve">   สุนัขเพศเมีย น้ำหนัก &lt; 10 กก.  (2000)  </t>
  </si>
  <si>
    <t xml:space="preserve">   สุนัขเพศเมีย น้ำหนัก 11 - 20 กก.  (2500)  </t>
  </si>
  <si>
    <t xml:space="preserve">   สุนัขเพศเมีย น้ำหนัก 21 - 30 กก.  (3000)  </t>
  </si>
  <si>
    <t xml:space="preserve">   สุนัขเพศเมีย น้ำหนัก &gt; 31 กก.  (4000)  </t>
  </si>
  <si>
    <t xml:space="preserve">   สุนัขเพศเมีย น้ำหนัก &gt; 31 กก.  (4500)  </t>
  </si>
  <si>
    <t xml:space="preserve">   สุนัขเพศเมีย น้ำหนัก &gt; 31 กก.  (5000)  </t>
  </si>
  <si>
    <t xml:space="preserve">   ทำหมันกระต่ายเพศผู้  (2000)  </t>
  </si>
  <si>
    <t xml:space="preserve">   ทำหมันกระต่ายเพศเมีย  (2500)  </t>
  </si>
  <si>
    <t xml:space="preserve">ทำหมันในกรณีมดลูกหรือรังไข่ผิดปกติ แมว และสุนัข &lt; 10 kg  (3000)  </t>
  </si>
  <si>
    <t xml:space="preserve">ทำหมันในกรณีมดลูกหรือรังไข่ผิดปกติ แมว และสุนัข &lt; 10 kg  (3500)  </t>
  </si>
  <si>
    <t xml:space="preserve">ทำหมันในกรณีมดลูกหรือรังไข่ผิดปกติ แมว และสุนัข &lt; 10 kg  (4000)  </t>
  </si>
  <si>
    <t xml:space="preserve">ทำหมันในกรณีมดลูกหรือรังไข่ผิดปกติ แมว และสุนัข &lt; 10 kg  (4500)  </t>
  </si>
  <si>
    <t xml:space="preserve">ทำหมันในกรณีมดลูกหรือรังไข่ผิดปกติ แมว และสุนัข &lt; 10 kg  (5000)  </t>
  </si>
  <si>
    <t xml:space="preserve">ทำหมันในกรณีมดลูกหรือรังไข่ผิดปกติ สุนัข  น้ำหนัก 10 - 20 กก.  (4000)  </t>
  </si>
  <si>
    <t xml:space="preserve">ทำหมันในกรณีมดลูกหรือรังไข่ผิดปกติ สุนัข  น้ำหนัก 10 - 20 กก.  (4500)  </t>
  </si>
  <si>
    <t xml:space="preserve">ทำหมันในกรณีมดลูกหรือรังไข่ผิดปกติ สุนัข  น้ำหนัก 10 - 20 กก.  (5000)  </t>
  </si>
  <si>
    <t xml:space="preserve">ทำหมันในกรณีมดลูกหรือรังไข่ผิดปกติ สุนัข  น้ำหนัก 10 - 20 กก.  (6000)  </t>
  </si>
  <si>
    <t xml:space="preserve">ทำหมันในกรณีมดลูกหรือรังไข่ผิดปกติ สุนัข  น้ำหนัก 20 - 30 กก.  (5000)  </t>
  </si>
  <si>
    <t xml:space="preserve">ทำหมันในกรณีมดลูกหรือรังไข่ผิดปกติ สุนัข  น้ำหนัก 20 - 30 กก.  (5500)  </t>
  </si>
  <si>
    <t xml:space="preserve">ทำหมันในกรณีมดลูกหรือรังไข่ผิดปกติ สุนัข  น้ำหนัก 20 - 30 กก.  (6000)  </t>
  </si>
  <si>
    <t xml:space="preserve">ทำหมันในกรณีมดลูกหรือรังไข่ผิดปกติ สุนัข  น้ำหนัก 20 - 30 กก.  (7000)  </t>
  </si>
  <si>
    <t xml:space="preserve">ทำหมันในกรณีมดลูกหรือรังไข่ผิดปกติ สุนัข  น้ำหนัก 31 - 50 กก.  (6000)  </t>
  </si>
  <si>
    <t xml:space="preserve">ทำหมันในกรณีมดลูกหรือรังไข่ผิดปกติ สุนัข  น้ำหนัก 31 - 50 กก.  (6500)  </t>
  </si>
  <si>
    <t xml:space="preserve">ทำหมันในกรณีมดลูกหรือรังไข่ผิดปกติ สุนัข  น้ำหนัก 31 - 50 กก.  (7000)  </t>
  </si>
  <si>
    <t xml:space="preserve">ทำหมันในกรณีมดลูกหรือรังไข่ผิดปกติ สุนัข  น้ำหนัก 31 - 50 กก.  (8000)  </t>
  </si>
  <si>
    <t xml:space="preserve">ทำหมันในกรณีมดลูกหรือรังไข่ผิดปกติ สุนัข  น้ำหนัก 31 - 50 กก.  (10000)  </t>
  </si>
  <si>
    <t xml:space="preserve">ผ่าตัดช่วยคลอด แมว และสุนัข &lt; 10 kg  (4000)  </t>
  </si>
  <si>
    <t xml:space="preserve">ผ่าตัดช่วยคลอด แมว และสุนัข &lt; 10 kg  (4500)  </t>
  </si>
  <si>
    <t xml:space="preserve">ผ่าตัดช่วยคลอด แมว และสุนัข &lt; 10 kg  (5000)  </t>
  </si>
  <si>
    <t xml:space="preserve">ผ่าตัดช่วยคลอด แมว และสุนัข &lt; 10 kg  (6000)  </t>
  </si>
  <si>
    <t xml:space="preserve">ผ่าตัดช่วยคลอด สุนัข  น้ำหนัก 10 - 20 กก.  (5000)  </t>
  </si>
  <si>
    <t xml:space="preserve">ผ่าตัดช่วยคลอด สุนัข  น้ำหนัก 10 - 20 กก.  (5500)  </t>
  </si>
  <si>
    <t xml:space="preserve">ผ่าตัดช่วยคลอด สุนัข  น้ำหนัก 10 - 20 กก.  (6000)  </t>
  </si>
  <si>
    <t xml:space="preserve">ผ่าตัดช่วยคลอด สุนัข  น้ำหนัก 10 - 20 กก.  (7000)  </t>
  </si>
  <si>
    <t xml:space="preserve">ผ่าตัดช่วยคลอด สุนัข  น้ำหนัก 20 - 30 กก.  (6000)  </t>
  </si>
  <si>
    <t xml:space="preserve">ผ่าตัดช่วยคลอด สุนัข  น้ำหนัก 20 - 30 กก.  (6500)  </t>
  </si>
  <si>
    <t xml:space="preserve">ผ่าตัดช่วยคลอด สุนัข  น้ำหนัก 20 - 30 กก.  (7000)  </t>
  </si>
  <si>
    <t xml:space="preserve">ผ่าตัดช่วยคลอด สุนัข  น้ำหนัก 20 - 30 กก.  (8000)  </t>
  </si>
  <si>
    <t xml:space="preserve">ผ่าตัดช่วยคลอด สุนัข  น้ำหนัก 31 - 50 กก.  (7000)  </t>
  </si>
  <si>
    <t xml:space="preserve">ผ่าตัดช่วยคลอด สุนัข  น้ำหนัก 31 - 50 กก.  (8000)  </t>
  </si>
  <si>
    <t xml:space="preserve">ผ่าตัดช่วยคลอด สุนัข  น้ำหนัก 31 - 50 กก.  (10000)  </t>
  </si>
  <si>
    <t xml:space="preserve">ผ่าตัดช่วยคลอด ค่าช่วยลูก  (100)  </t>
  </si>
  <si>
    <t xml:space="preserve">ศัลยกรรมแก้ไข abdominal cryptochid : Cat, Dog &lt; 10 kg  (3000)  </t>
  </si>
  <si>
    <t xml:space="preserve">ศัลยกรรมแก้ไข abdominal cryptochid : Cat, Dog &lt; 10 kg  (3500)  </t>
  </si>
  <si>
    <t xml:space="preserve">ศัลยกรรมแก้ไข abdominal cryptochid : Cat, Dog &lt; 10 kg  (4000)  </t>
  </si>
  <si>
    <t xml:space="preserve">ศัลยกรรมแก้ไข abdominal cryptochid : Cat, Dog &lt; 10 kg  (5000)  </t>
  </si>
  <si>
    <t xml:space="preserve">ศัลยกรรมแก้ไข abdominal cryptochid : Dog 10 - 20 kg  (4000)  </t>
  </si>
  <si>
    <t xml:space="preserve">ศัลยกรรมแก้ไข abdominal cryptochid : Dog 10 - 20 kg  (4500)  </t>
  </si>
  <si>
    <t xml:space="preserve">ศัลยกรรมแก้ไข abdominal cryptochid : Dog 10 - 20 kg  (5000)  </t>
  </si>
  <si>
    <t xml:space="preserve">ศัลยกรรมแก้ไข abdominal cryptochid : Dog 10 - 20 kg  (6000)  </t>
  </si>
  <si>
    <t xml:space="preserve">ศัลยกรรมแก้ไข abdominal cryptochid : Dog 20 - 30 kg  (5000)  </t>
  </si>
  <si>
    <t xml:space="preserve">ศัลยกรรมแก้ไข abdominal cryptochid : Dog 20 - 30 kg  (5500)  </t>
  </si>
  <si>
    <t xml:space="preserve">ศัลยกรรมแก้ไข abdominal cryptochid : Dog 20 - 30 kg  (6000)  </t>
  </si>
  <si>
    <t xml:space="preserve">ศัลยกรรมแก้ไข abdominal cryptochid : Dog 20 - 30 kg  (7000)  </t>
  </si>
  <si>
    <t xml:space="preserve">ศัลยกรรมแก้ไข abdominal cryptochid : Dog 20 - 30 kg  (8000)  </t>
  </si>
  <si>
    <t xml:space="preserve">ศัลยกรรมแก้ไข abdominal cryptochid : Dog &gt; 30 kg  (6000)  </t>
  </si>
  <si>
    <t xml:space="preserve">ศัลยกรรมแก้ไข abdominal cryptochid : Dog &gt; 30 kg  (6500)  </t>
  </si>
  <si>
    <t xml:space="preserve">ศัลยกรรมแก้ไข abdominal cryptochid : Dog &gt; 30 kg  (7000)  </t>
  </si>
  <si>
    <t xml:space="preserve">ศัลยกรรมแก้ไข abdominal cryptochid : Dog &gt; 30 kg  (8000)  </t>
  </si>
  <si>
    <t xml:space="preserve">ศัลยกรรมแก้ไข abdominal cryptochid : Dog &gt; 30 kg  (10000)  </t>
  </si>
  <si>
    <t xml:space="preserve">ศัลยกรรมต่อมลูกหมาก  (4000)  </t>
  </si>
  <si>
    <t xml:space="preserve">ศัลยกรรมต่อมลูกหมาก  (4500)  </t>
  </si>
  <si>
    <t xml:space="preserve">ศัลยกรรมต่อมลูกหมาก  (5000)  </t>
  </si>
  <si>
    <t xml:space="preserve">ศัลยกรรมต่อมลูกหมาก  (6000)  </t>
  </si>
  <si>
    <t xml:space="preserve">ศัลยกรรมต่อมลูกหมาก  (7000)  </t>
  </si>
  <si>
    <t xml:space="preserve">ศัลยกรรมต่อมลูกหมาก  (8000)  </t>
  </si>
  <si>
    <t xml:space="preserve">ศัลยกรรมแก้ไข inguinal cryptochid   (3000)  </t>
  </si>
  <si>
    <t xml:space="preserve">ศัลยกรรมแก้ไข inguinal cryptochid   (3500)  </t>
  </si>
  <si>
    <t xml:space="preserve">ศัลยกรรมแก้ไข inguinal cryptochid   (4000)  </t>
  </si>
  <si>
    <t xml:space="preserve">ศัลยกรรมแก้ไข inguinal cryptochid   (5000)  </t>
  </si>
  <si>
    <t xml:space="preserve">ศัลยกรรม vasectomy  (3000)  </t>
  </si>
  <si>
    <t xml:space="preserve">ศัลยกรรม vasectomy  (3500)  </t>
  </si>
  <si>
    <t xml:space="preserve">ศัลยกรรม vasectomy  (4000)  </t>
  </si>
  <si>
    <t xml:space="preserve">ศัลยกรรม vasectomy  (5000)  </t>
  </si>
  <si>
    <t xml:space="preserve">ศัลยกรรม vasectomy  (6000)  </t>
  </si>
  <si>
    <t xml:space="preserve">ศัลยกรรม vasectomy  (7000)  </t>
  </si>
  <si>
    <t xml:space="preserve">ศัลยกรรม vasectomy  (8000)  </t>
  </si>
  <si>
    <t xml:space="preserve">ศัลยกรรมตัดลูกอัณฑะและถุงหุ้มอัณฑะ (scrotal sac amputation)  (3000)  </t>
  </si>
  <si>
    <t xml:space="preserve">ศัลยกรรมตัดลูกอัณฑะและถุงหุ้มอัณฑะ (scrotal sac amputation)  (3500)  </t>
  </si>
  <si>
    <t xml:space="preserve">ศัลยกรรมตัดลูกอัณฑะและถุงหุ้มอัณฑะ (scrotal sac amputation)  (4000)  </t>
  </si>
  <si>
    <t xml:space="preserve">ศัลยกรรมตัดลูกอัณฑะและถุงหุ้มอัณฑะ (scrotal sac amputation)  (5000)  </t>
  </si>
  <si>
    <t xml:space="preserve">ศัลยกรรมตัดลูกอัณฑะและถุงหุ้มอัณฑะ (scrotal sac amputation)  (6000)  </t>
  </si>
  <si>
    <t xml:space="preserve">ศัลยกรรมตัดลูกอัณฑะและถุงหุ้มอัณฑะ (scrotal sac amputation)  (7000)  </t>
  </si>
  <si>
    <t xml:space="preserve">ศัลยกรรมตัดลูกอัณฑะและถุงหุ้มอัณฑะ (scrotal sac amputation)  (8000)  </t>
  </si>
  <si>
    <t xml:space="preserve">ศัลยกรรม Penile amputation สุนัข &lt; 10 kg  (3000)  </t>
  </si>
  <si>
    <t xml:space="preserve">ศัลยกรรม Penile amputation สุนัข &lt; 10 kg  (3500)  </t>
  </si>
  <si>
    <t xml:space="preserve">ศัลยกรรม Penile amputation สุนัข &lt; 10 kg  (4000)  </t>
  </si>
  <si>
    <t xml:space="preserve">ศัลยกรรม Penile amputation สุนัข &lt; 10 kg  (5000)  </t>
  </si>
  <si>
    <t xml:space="preserve">ศัลยกรรม Penile amputation สุนัข 10 - 20 kg  (4000)  </t>
  </si>
  <si>
    <t xml:space="preserve">ศัลยกรรม Penile amputation สุนัข 10 - 20 kg  (4500)  </t>
  </si>
  <si>
    <t xml:space="preserve">ศัลยกรรม Penile amputation สุนัข 10 - 20 kg  (5000)  </t>
  </si>
  <si>
    <t xml:space="preserve">ศัลยกรรม Penile amputation สุนัข 10 - 20 kg  (6000)  </t>
  </si>
  <si>
    <t xml:space="preserve">ศัลยกรรม Penile amputation สุนัข 20 - 30 kg  (5000)  </t>
  </si>
  <si>
    <t xml:space="preserve">ศัลยกรรม Penile amputation สุนัข 20 - 30 kg  (5500)  </t>
  </si>
  <si>
    <t xml:space="preserve">ศัลยกรรม Penile amputation สุนัข 20 - 30 kg  (6000)  </t>
  </si>
  <si>
    <t xml:space="preserve">ศัลยกรรม Penile amputation สุนัข 20 - 30 kg  (7000)  </t>
  </si>
  <si>
    <t xml:space="preserve">ศัลยกรรม Penile amputation สุนัข &gt; 30 kg  (6000)  </t>
  </si>
  <si>
    <t xml:space="preserve">ศัลยกรรม Penile amputation สุนัข &gt; 30 kg  (6500)  </t>
  </si>
  <si>
    <t xml:space="preserve">ศัลยกรรม Penile amputation สุนัข &gt; 30 kg  (7000)  </t>
  </si>
  <si>
    <t xml:space="preserve">ศัลยกรรม Penile amputation สุนัข &gt; 30 kg  (8000)  </t>
  </si>
  <si>
    <t xml:space="preserve">ศัลยกรรม Penile amputation สุนัข &gt; 30 kg  (10000)  </t>
  </si>
  <si>
    <t xml:space="preserve">ตัดหางลูกสุนัข (อายุไม่เกิน 1 สัปดาห์ ไม่วางยาสลบ)    (150)  </t>
  </si>
  <si>
    <t xml:space="preserve">ตัดหางสุนัข โตเต็มวัย  (3000)  </t>
  </si>
  <si>
    <t xml:space="preserve">ตัดหางสุนัข โตเต็มวัย  (3500)  </t>
  </si>
  <si>
    <t xml:space="preserve">ตัดหางสุนัข โตเต็มวัย  (4000)  </t>
  </si>
  <si>
    <t xml:space="preserve">ตัดหางสุนัข โตเต็มวัย  (5000)  </t>
  </si>
  <si>
    <t xml:space="preserve">ตัดหางสุนัข โตเต็มวัย  (6000)  </t>
  </si>
  <si>
    <t xml:space="preserve">ตัดหางแมว  โตเต็มวัย  (3000)  </t>
  </si>
  <si>
    <t xml:space="preserve">ตัดหางแมว  โตเต็มวัย  (4000)  </t>
  </si>
  <si>
    <t xml:space="preserve">ตัดหางแมว  โตเต็มวัย  (5000)  </t>
  </si>
  <si>
    <t xml:space="preserve">ขูดหินปูน และขัดฟัน  (1500)  </t>
  </si>
  <si>
    <t xml:space="preserve">ขูดหินปูน และขัดฟัน  (1800)  </t>
  </si>
  <si>
    <t xml:space="preserve">ขูดหินปูน และขัดฟัน  (2000)  </t>
  </si>
  <si>
    <t xml:space="preserve">ขูดหินปูน และขัดฟัน  (2500)  </t>
  </si>
  <si>
    <t xml:space="preserve">ขูดหินปูน และขัดฟัน  (3000)  </t>
  </si>
  <si>
    <t xml:space="preserve">ขัดฟัน (ไม่รวมวางยาสลบ)  (150)  </t>
  </si>
  <si>
    <t xml:space="preserve">ย้อมสีฟัน (ไม่รวมวางยาสลบ)  (100)  </t>
  </si>
  <si>
    <t xml:space="preserve">เอกซเรย์ฟัน (ไม่รวมวางยาสลบ)  (800)  </t>
  </si>
  <si>
    <t xml:space="preserve">เอกซเรย์ฟัน (ไม่รวมวางยาสลบ)  (1000)  </t>
  </si>
  <si>
    <t xml:space="preserve">ถอนฟัน (ไม่รวมวางยาสลบ) ฟันรากเดียว ไม่ใช้ bur/ ซี่  (100)  </t>
  </si>
  <si>
    <t xml:space="preserve">ถอนฟัน (ไม่รวมวางยาสลบ) ฟันรากเดียว ใช้ bur/ ซี่  (500)  </t>
  </si>
  <si>
    <t xml:space="preserve">ถอนฟัน (ไม่รวมวางยาสลบ) ฟันรากเดียว ใช้ bur/ ซี่  (750)  </t>
  </si>
  <si>
    <t xml:space="preserve">ถอนฟัน (ไม่รวมวางยาสลบ) ฟันรากเดียว ใช้ bur/ ซี่  (1000)  </t>
  </si>
  <si>
    <t xml:space="preserve">ถอนฟัน (ไม่รวมวางยาสลบ) ฟันรากเดียว ใช้ bur/ ซี่  (1200)  </t>
  </si>
  <si>
    <t xml:space="preserve">ถอนฟัน (ไม่รวมวางยาสลบ) ฟันรากเดียว ใช้ bur/ ซี่  (1500)  </t>
  </si>
  <si>
    <t xml:space="preserve">ถอนฟัน (ไม่รวมวางยาสลบ) ฟันเขี้ยว/ ซี่  (800)  </t>
  </si>
  <si>
    <t xml:space="preserve">ถอนฟัน (ไม่รวมวางยาสลบ) ฟันเขี้ยว/ ซี่  (1000)  </t>
  </si>
  <si>
    <t xml:space="preserve">ถอนฟัน (ไม่รวมวางยาสลบ) ฟันเขี้ยว/ ซี่  (1200)  </t>
  </si>
  <si>
    <t xml:space="preserve">ถอนฟัน (ไม่รวมวางยาสลบ) ฟันเขี้ยว/ ซี่  (1500)  </t>
  </si>
  <si>
    <t xml:space="preserve">ถอนฟัน (ไม่รวมวางยาสลบ) ฟันมากกว่า 1 ราก/ ซี่  (800)  </t>
  </si>
  <si>
    <t xml:space="preserve">ถอนฟัน (ไม่รวมวางยาสลบ) ฟันมากกว่า 1 ราก/ ซี่  (1000)  </t>
  </si>
  <si>
    <t xml:space="preserve">ถอนฟัน (ไม่รวมวางยาสลบ) ฟันมากกว่า 1 ราก/ ซี่  (1200)  </t>
  </si>
  <si>
    <t xml:space="preserve">ถอนฟัน (ไม่รวมวางยาสลบ) ฟันมากกว่า 1 ราก/ ซี่  (1500)  </t>
  </si>
  <si>
    <t xml:space="preserve">ถอนฟัน (ไม่รวมวางยาสลบ) ฟันมากกว่า 1 ราก/ ซี่  (1800)  </t>
  </si>
  <si>
    <t xml:space="preserve">ถอนฟัน (ไม่รวมวางยาสลบ) ฟันมากกว่า 1 ราก/ ซี่  (2000)  </t>
  </si>
  <si>
    <t xml:space="preserve">ถอนฟันแมว (stomatitis) ทั้งปากหรือฟันกรามทั้งหมด  (2500)  </t>
  </si>
  <si>
    <t xml:space="preserve">ถอนฟันแมว (stomatitis) ทั้งปากหรือฟันกรามทั้งหมด  (3000)  </t>
  </si>
  <si>
    <t xml:space="preserve">ถอนฟันแมว (stomatitis) ทั้งปากหรือฟันกรามทั้งหมด  (3500)  </t>
  </si>
  <si>
    <t xml:space="preserve">ถอนฟันแมว (stomatitis) ทั้งปากหรือฟันกรามทั้งหมด  (4000)  </t>
  </si>
  <si>
    <t xml:space="preserve">ถอนฟันแมว (stomatitis) ทั้งปากหรือฟันกรามทั้งหมด  (5000)  </t>
  </si>
  <si>
    <t xml:space="preserve">รักษาโรคปริทันต์ในสุนัข  (2500)  </t>
  </si>
  <si>
    <t xml:space="preserve">รักษาโรคปริทันต์ในสุนัข  (3000)  </t>
  </si>
  <si>
    <t xml:space="preserve">รักษาโรคปริทันต์ในสุนัข  (3500)  </t>
  </si>
  <si>
    <t xml:space="preserve">รักษาโรคปริทันต์ในสุนัข  (4000)  </t>
  </si>
  <si>
    <t xml:space="preserve">รักษาโรคปริทันต์ในสุนัข  (5000)  </t>
  </si>
  <si>
    <t xml:space="preserve">อุดฟัน  (indeed)  </t>
  </si>
  <si>
    <t xml:space="preserve">รักษารากฟัน  (indeed)  </t>
  </si>
  <si>
    <t xml:space="preserve">ตัดเขี้ยว   (2000)  </t>
  </si>
  <si>
    <t xml:space="preserve">ตัดเขี้ยว   (2500)  </t>
  </si>
  <si>
    <t xml:space="preserve">ตัดเขี้ยว   (3000)  </t>
  </si>
  <si>
    <t xml:space="preserve">ตัดเขี้ยว   (3500)  </t>
  </si>
  <si>
    <t xml:space="preserve">ตัดเขี้ยว   (4000)  </t>
  </si>
  <si>
    <t xml:space="preserve">ตัดฟัน/กรอฟัน (ไม่รวมค่าวางยาสลบ และอุปกรณ์)  (500)  </t>
  </si>
  <si>
    <t xml:space="preserve">ศัลยกรรมสำรวจข้อต่อ, ผ่าตัดแก้ไขกระดูกหักกรณีใช้วัสดุปลูกฝังจากภายนอก (ไม่รวมค่าวัสดุปลูกฝัง)  (5000)  </t>
  </si>
  <si>
    <t xml:space="preserve">ศัลยกรรมสำรวจข้อต่อ, ผ่าตัดแก้ไขกระดูกหักกรณีใช้วัสดุปลูกฝังจากภายนอก (ไม่รวมค่าวัสดุปลูกฝัง)  (6000)  </t>
  </si>
  <si>
    <t xml:space="preserve">ศัลยกรรมสำรวจข้อต่อ, ผ่าตัดแก้ไขกระดูกหักกรณีใช้วัสดุปลูกฝังจากภายนอก (ไม่รวมค่าวัสดุปลูกฝัง)  (7000)  </t>
  </si>
  <si>
    <t xml:space="preserve">ศัลยกรรมสำรวจข้อต่อ, ผ่าตัดแก้ไขกระดูกหักกรณีใช้วัสดุปลูกฝังจากภายนอก (ไม่รวมค่าวัสดุปลูกฝัง)  (8000)  </t>
  </si>
  <si>
    <t xml:space="preserve">Closed reduction hip : dog &lt; 15 kg  (2000)  </t>
  </si>
  <si>
    <t xml:space="preserve">Closed reduction hip : dog &gt; 15 kg  (2500)  </t>
  </si>
  <si>
    <t xml:space="preserve">Closed reduction elbow  (2500)  </t>
  </si>
  <si>
    <t xml:space="preserve">Closed reduction TMJ with composite fixation  (5000)  </t>
  </si>
  <si>
    <t xml:space="preserve">ศัลยกรรม Circlage wire at mandibular symphysis : Cat  (3000)  </t>
  </si>
  <si>
    <t xml:space="preserve">ศัลยกรรม Circlage wire at mandibular symphysis : Dog  (4000)  </t>
  </si>
  <si>
    <t xml:space="preserve">ศัลยกรรมตัดกราม Partial maxillectomy  (5000)  </t>
  </si>
  <si>
    <t xml:space="preserve">ศัลยกรรมตัดกราม Partial maxillectomy  (6000)  </t>
  </si>
  <si>
    <t xml:space="preserve">ศัลยกรรมตัดกราม Rostal mandibulectomy  (4000)  </t>
  </si>
  <si>
    <t xml:space="preserve">ศัลยกรรมตัดกราม hemimandibulectomy  (4000)  </t>
  </si>
  <si>
    <t xml:space="preserve">ศัลยกรรมใส่แท่งเหล็กในแกนกระดูก (Pin) หรือยึดตรึงกระดูกด้วย Pin/ wire  (6000)  </t>
  </si>
  <si>
    <t xml:space="preserve">ศัลยกรรมใส่แท่งเหล็กในแกนกระดูก (Pin) หรือยึดตรึงกระดูกด้วย Pin/ wire  (6500)  </t>
  </si>
  <si>
    <t xml:space="preserve">ศัลยกรรมใส่แท่งเหล็กในแกนกระดูก (Pin) หรือยึดตรึงกระดูกด้วย Pin/ wire  (7000)  </t>
  </si>
  <si>
    <t xml:space="preserve">ศัลยกรรมใส่แท่งเหล็กในแกนกระดูก (Pin) หรือยึดตรึงกระดูกด้วย Pin/ wire  (7500)  </t>
  </si>
  <si>
    <t xml:space="preserve">ศัลยกรรมใส่แท่งเหล็กในแกนกระดูก (Pin) หรือยึดตรึงกระดูกด้วย Pin/ wire  (8000)  </t>
  </si>
  <si>
    <t xml:space="preserve">ศัลยกรรมใส่แผ่นเหล็กและหมุดโลหะยึดกระดูก (Plate &amp; screw)  (7500)  </t>
  </si>
  <si>
    <t xml:space="preserve">ศัลยกรรมใส่แผ่นเหล็กและหมุดโลหะยึดกระดูก (Plate &amp; screw)  (8000)  </t>
  </si>
  <si>
    <t xml:space="preserve">ศัลยกรรมใส่แผ่นเหล็กและหมุดโลหะยึดกระดูก (Plate &amp; screw)  (8500)  </t>
  </si>
  <si>
    <t xml:space="preserve">ศัลยกรรมใส่แผ่นเหล็กและหมุดโลหะยึดกระดูก (Plate &amp; screw)  (9000)  </t>
  </si>
  <si>
    <t xml:space="preserve">ศัลยกรรมใส่แผ่นเหล็กและหมุดโลหะยึดกระดูก (Plate &amp; screw)  (10000)  </t>
  </si>
  <si>
    <t xml:space="preserve">ยึดตรึงกระดูกด้วยวิธี Tension band wire  (6000)  </t>
  </si>
  <si>
    <t xml:space="preserve">ยึดตรึงกระดูกด้วยวิธี Tension band wire  (7000)  </t>
  </si>
  <si>
    <t xml:space="preserve">ยึดตรึงกระดูกด้วยวิธี Tension band wire  (8000)  </t>
  </si>
  <si>
    <t xml:space="preserve">ยึดตรึงกระดูกด้วยวิธี Plate rod technique   (8000)  </t>
  </si>
  <si>
    <t xml:space="preserve">ยึดตรึงกระดูกด้วยวิธี Plate rod technique   (9000)  </t>
  </si>
  <si>
    <t xml:space="preserve">ยึดตรึงกระดูกด้วยวิธี Plate rod technique   (10000)  </t>
  </si>
  <si>
    <t xml:space="preserve">ยึดตรึงกระดูกด้วย Screw  (4000)  </t>
  </si>
  <si>
    <t xml:space="preserve">ยึดตรึงกระดูกด้วย Screw  (4500)  </t>
  </si>
  <si>
    <t xml:space="preserve">ยึดตรึงกระดูกด้วย Screw  (5000)  </t>
  </si>
  <si>
    <t xml:space="preserve">ใส่โครงเหล็กดามกระดูกจากภายนอกโดยยึด Comercial bar มาตรฐาน  (25000)  </t>
  </si>
  <si>
    <t xml:space="preserve">ใส่โครงเหล็กดามกระดูกจากภายนอกโดยยึด Comercial bar มาตรฐาน  (28000)  </t>
  </si>
  <si>
    <t xml:space="preserve">ใส่โครงเหล็กดามกระดูกจากภายนอกโดยยึด Comercial bar มาตรฐาน  (30000)  </t>
  </si>
  <si>
    <t xml:space="preserve">ใส่โครงเหล็กดามกระดูกจากภายนอก (ESF) โดยยึดด้วย Epoxy หรือ  Acrylic  (5000)  </t>
  </si>
  <si>
    <t xml:space="preserve">ใส่โครงเหล็กดามกระดูกจากภายนอก (ESF) โดยยึดด้วย Epoxy หรือ  Acrylic  (6000)  </t>
  </si>
  <si>
    <t xml:space="preserve">ใส่โครงเหล็กดามกระดูกจากภายนอก (ESF) โดยยึดด้วย Epoxy หรือ  Acrylic  (7000)  </t>
  </si>
  <si>
    <t xml:space="preserve">ศัลยกรรมแก้ไข Shoulder luxation + bone suture  (6000)  </t>
  </si>
  <si>
    <t xml:space="preserve">ศัลยกรรมแก้ไข Shoulder luxation + bone suture  (7000)  </t>
  </si>
  <si>
    <t xml:space="preserve">ศัลยกรรมแก้ไข Shoulder luxation + bone suture  (8000)  </t>
  </si>
  <si>
    <t xml:space="preserve">ศัลยกรรมแก้ไขสะบ้าเคลื่อนด้วยวิธี Trochlear blocked/ wedge recession +/- tibial creast transposition (ต่อข้าง)  (5500)  </t>
  </si>
  <si>
    <t xml:space="preserve">ศัลยกรรมแก้ไขสะบ้าเคลื่อนด้วยวิธี Trochlear blocked/ wedge recession +/- tibial creast transposition (ต่อข้าง)  (6000)  </t>
  </si>
  <si>
    <t xml:space="preserve">ศัลยกรรมแก้ไขสะบ้าเคลื่อนด้วยวิธี Fabello-patella suture (ต่อข้าง)  (4000)  </t>
  </si>
  <si>
    <t xml:space="preserve">ศัลยกรรมแก้ไขสะบ้าเคลื่อนด้วยวิธี Fabello-patella suture (ต่อข้าง)  (4500)  </t>
  </si>
  <si>
    <t xml:space="preserve">ศัลยกรรมแก้ไขสะบ้าเคลื่อนด้วยวิธี Fabello-patella suture (ต่อข้าง)  (5000)  </t>
  </si>
  <si>
    <t xml:space="preserve">ศัลยกรรมปรับมุมกระดูกกรณีขาผิดรูปด้วยเทคนิค Osteotomy (ไม่รวมวัสดุปลูกฝัง)  (6000)  </t>
  </si>
  <si>
    <t xml:space="preserve">ศัลยกรรมปรับมุมกระดูกกรณีขาผิดรูปด้วยเทคนิค Osteotomy (ไม่รวมวัสดุปลูกฝัง)  (7000)  </t>
  </si>
  <si>
    <t xml:space="preserve">ศัลยกรรมปรับมุมกระดูกกรณีขาผิดรูปด้วยเทคนิค Osteotomy (ไม่รวมวัสดุปลูกฝัง)  (8000)  </t>
  </si>
  <si>
    <t xml:space="preserve">ศัลยกรรมปรับมุมกระดูกกรณีขาผิดรูปด้วยเทคนิค Osteotomy (ไม่รวมวัสดุปลูกฝัง)  (9500)  </t>
  </si>
  <si>
    <t xml:space="preserve">แก้ไขเอ็นไขว้หัวเข้าฉีกขาด ด้วยวิธี Lateral suture  (6000)  </t>
  </si>
  <si>
    <t xml:space="preserve">แก้ไขเอ็นไขว้หัวเข้าฉีกขาด ด้วยวิธี Lateral suture  (7000)  </t>
  </si>
  <si>
    <t xml:space="preserve">แก้ไขเอ็นไขว้หัวเข้าฉีกขาด ด้วยวิธี Lateral suture  (8000)  </t>
  </si>
  <si>
    <t xml:space="preserve">แก้ไขเอ็นไขว้หัวเข้าฉีกขาด ด้วยวิธี TPLO  (ไม่รวมวัสดุปลูกฝัง)  (6000)  </t>
  </si>
  <si>
    <t xml:space="preserve">แก้ไขเอ็นไขว้หัวเข้าฉีกขาด ด้วยวิธี TPLO  (ไม่รวมวัสดุปลูกฝัง)  (7000)  </t>
  </si>
  <si>
    <t xml:space="preserve">แก้ไขเอ็นไขว้หัวเข้าฉีกขาด ด้วยวิธี TPLO  (ไม่รวมวัสดุปลูกฝัง)  (8000)  </t>
  </si>
  <si>
    <t xml:space="preserve">แก้ไขเอ็นไขว้หัวเข้าฉีกขาด ด้วยวิธี TPLO  (ไม่รวมวัสดุปลูกฝัง)  (10000)  </t>
  </si>
  <si>
    <t xml:space="preserve">ปรับมุมกระดูกสะโพก ด้วยวิธี DPO หรือ TPO  (ไม่รวมวัสดุปลูกฝัง)  (6000)  </t>
  </si>
  <si>
    <t xml:space="preserve">ปรับมุมกระดูกสะโพก ด้วยวิธี DPO หรือ TPO  (ไม่รวมวัสดุปลูกฝัง)  (7000)  </t>
  </si>
  <si>
    <t xml:space="preserve">ปรับมุมกระดูกสะโพก ด้วยวิธี DPO หรือ TPO  (ไม่รวมวัสดุปลูกฝัง)  (8000)  </t>
  </si>
  <si>
    <t xml:space="preserve">ปรับมุมกระดูกสะโพก ด้วยวิธี DPO หรือ TPO  (ไม่รวมวัสดุปลูกฝัง)  (10000)  </t>
  </si>
  <si>
    <t xml:space="preserve">ยึดตรึงกระดูกด้วย locking bone plate  (20000)  </t>
  </si>
  <si>
    <t xml:space="preserve">ยึดตรึงกระดูกด้วย locking bone plate  (22000)  </t>
  </si>
  <si>
    <t xml:space="preserve">ยึดตรึงกระดูกด้วย locking bone plate  (25000)  </t>
  </si>
  <si>
    <t xml:space="preserve">ยึดตรึงกระดูกด้วย locking bone plate  (28000)  </t>
  </si>
  <si>
    <t xml:space="preserve">ศัลยกรรมเชื่อมข้อ ด้วยวัสดุฝัง (Implant)  (7000)  </t>
  </si>
  <si>
    <t xml:space="preserve">ศัลยกรรมเชื่อมข้อ ด้วยวัสดุฝัง (Implant)  (7500)  </t>
  </si>
  <si>
    <t xml:space="preserve">ศัลยกรรมเชื่อมข้อ ด้วยวัสดุฝัง (Implant)  (8000)  </t>
  </si>
  <si>
    <t xml:space="preserve">ศัลยกรรมเชื่อมข้อ ด้วยวัสดุฝัง (Implant)  (8500)  </t>
  </si>
  <si>
    <t xml:space="preserve">ศัลยกรรมตัดหัวกระดูก (FHNE) : แมว/ สุนัข &lt; 10 kg  (3500)  </t>
  </si>
  <si>
    <t xml:space="preserve">ศัลยกรรมตัดหัวกระดูก (FHNE) : สุนัข 10-20 kg  (4000)  </t>
  </si>
  <si>
    <t xml:space="preserve">ศัลยกรรมตัดหัวกระดูก (FHNE) : สุนัข &gt;20 kg  (5000)  </t>
  </si>
  <si>
    <t xml:space="preserve">ศัลยกรรมเปิดหลังคากระดูกสันหลัง  (8000)  </t>
  </si>
  <si>
    <t xml:space="preserve">ศัลยกรรมเปิดหลังคากระดูกสันหลัง  (9000)  </t>
  </si>
  <si>
    <t xml:space="preserve">ศัลยกรรมเปิดหลังคากระดูกสันหลัง  (10000)  </t>
  </si>
  <si>
    <t xml:space="preserve">ศัลยกรรมยึดตรึงกระดูกสันหลัง ด้วย Pin/ screw + bone cement  (10000)  </t>
  </si>
  <si>
    <t xml:space="preserve">ศัลยกรรมยึดตรึงกระดูกสันหลัง ด้วย Pin/ screw + bone cement  (12000)  </t>
  </si>
  <si>
    <t xml:space="preserve">ศัลยกรรมยึดตรึงกระดูกสันหลัง ด้วย Pin/ screw + bone cement  (15000)  </t>
  </si>
  <si>
    <t xml:space="preserve">ศัลยกรรมยึดตรึงกระดูกสันหลัง ด้วย Pedicle screw (ไม่รวมวัสดุปลูกฝัง)  (10000)  </t>
  </si>
  <si>
    <t xml:space="preserve">ศัลยกรรมยึดตรึงกระดูกสันหลัง ด้วย Pedicle screw (ไม่รวมวัสดุปลูกฝัง)  (12000)  </t>
  </si>
  <si>
    <t xml:space="preserve">ศัลยกรรมยึดตรึงกระดูกสันหลัง ด้วย Pedicle screw (ไม่รวมวัสดุปลูกฝัง)  (15000)  </t>
  </si>
  <si>
    <t xml:space="preserve">ศัลยกรรมนำวัสดุปลูกฝังออก : pin, wire, plate &amp; screw  (2000)  </t>
  </si>
  <si>
    <t xml:space="preserve">ศัลยกรรมหมอนรองกระดูก  (8000)  </t>
  </si>
  <si>
    <t xml:space="preserve">ศัลยกรรมหมอนรองกระดูก  (9000)  </t>
  </si>
  <si>
    <t xml:space="preserve">ศัลยกรรมหมอนรองกระดูก  (10000)  </t>
  </si>
  <si>
    <t xml:space="preserve">ศัลยกรรมตัดนิ้ว (digit amputation)   (4000)  </t>
  </si>
  <si>
    <t xml:space="preserve">ศัลยกรรมตัดนิ้ว (digit amputation)   (4500)  </t>
  </si>
  <si>
    <t xml:space="preserve">ศัลยกรรมตัดนิ้ว (digit amputation)   (5000)  </t>
  </si>
  <si>
    <t xml:space="preserve">ศัลยกรรมตัดนิ้ว (digit amputation)   (5500)  </t>
  </si>
  <si>
    <t xml:space="preserve">ศัลยกรรมตัดขา (amputation) : cat/ dog &lt; 10 kg  (3000)  </t>
  </si>
  <si>
    <t xml:space="preserve">ศัลยกรรมตัดขา (amputation) : dog 20 - 25 kg   (4000)  </t>
  </si>
  <si>
    <t xml:space="preserve">ศัลยกรรมตัดขา (amputation) : dog 25 - 30 kg   (5000)  </t>
  </si>
  <si>
    <t xml:space="preserve">ศัลยกรรมตัดขา (amputation) : dog 30 kg ขึ้นไป  (5000)  </t>
  </si>
  <si>
    <t xml:space="preserve">ศัลยกรรมตัดขา (amputation) : dog 30 kg ขึ้นไป  (5500)  </t>
  </si>
  <si>
    <t xml:space="preserve">ศัลยกรรมตัดขา (amputation) : dog 30 kg ขึ้นไป  (6000)  </t>
  </si>
  <si>
    <t xml:space="preserve">การเจาะเก็บน้ำไขสันหลัง  (500)  </t>
  </si>
  <si>
    <t xml:space="preserve">เอกซเรย์ภาพเคลื่อนไหว (Fluoroscopy)  : ไม่รวมค่าวางยาสลบและสารทึบรังสี  (1500)  </t>
  </si>
  <si>
    <t xml:space="preserve">กรณีไม่ฉีดสารทึบรังสี น้ำหนัก &lt; 10 kg  (3000)  </t>
  </si>
  <si>
    <t xml:space="preserve">กรณีไม่ฉีดสารทึบรังสี น้ำหนัก 10-20 kg  (4000)  </t>
  </si>
  <si>
    <t xml:space="preserve">กรณีไม่ฉีดสารทึบรังสี น้ำหนัก &gt;20 kg  (5000)  </t>
  </si>
  <si>
    <t xml:space="preserve">กรณีฉีดสารทึบรังสี      น้ำหนัก &lt; 10 kg  (4500)  </t>
  </si>
  <si>
    <t xml:space="preserve">กรณีฉีดสารทึบรังสี   น้ำหนัก 10-20 kg  (5500)  </t>
  </si>
  <si>
    <t xml:space="preserve">กรณีฉีดสารทึบรังสี    น้ำหนัก &gt;20 kg  (8000)  </t>
  </si>
  <si>
    <t xml:space="preserve">ค่าหัตถการ Myelogram : ไม่รวมค่าสารทึบรังสี ค่าอุปกรณ์และค่าวางยาสลบ  (2000)  </t>
  </si>
  <si>
    <t xml:space="preserve">ค่าหัตถการ Myelogram : ไม่รวมค่าสารทึบรังสี ค่าอุปกรณ์และค่าวางยาสลบ  (3000)  </t>
  </si>
  <si>
    <t xml:space="preserve">ถ่ายภาพรังสีเอกซ์ (X-RAY)  (250)  </t>
  </si>
  <si>
    <t xml:space="preserve">ตรวจท้องด้วยคลื่นเสียงความถี่สูง   (250)  </t>
  </si>
  <si>
    <t xml:space="preserve">ตรวจวินิจฉัยโรคด้วยคลื่นเสียงความถี่สูง (Ultrasound)  (500)  </t>
  </si>
  <si>
    <t xml:space="preserve">ตรวจหัวใจด้วยคลื่นเสียงความถี่สูง (Echocardiogram)  (800)  </t>
  </si>
  <si>
    <t xml:space="preserve">การป้อนสารทึบรังสี (Barium swallow)  (300)  </t>
  </si>
  <si>
    <t xml:space="preserve">การสวนตรวจด้วยสารทึบรังสี (Barium enema)  (300)  </t>
  </si>
  <si>
    <t xml:space="preserve">การตรวจด้วยสารทึบรังสี Iodine (Iohexol)  (350)  </t>
  </si>
  <si>
    <t xml:space="preserve">การส่องกล้องตรวจภายใน (Endoscopy) : ไม่รวมค่าวางยาสลบ  (2500)  </t>
  </si>
  <si>
    <t xml:space="preserve">การใช้กล้องส่องตรวจภายใน (Endoscopy) และนำสิ่งแปลกปลอมออกจากหลอดอาหาร  (3000)  </t>
  </si>
  <si>
    <t xml:space="preserve">การใช้กล้องส่องตรวจภายใน (Endoscopy) และนำสิ่งแปลกปลอมออกจากหลอดอาหาร  (4000)  </t>
  </si>
  <si>
    <t xml:space="preserve">ค่าเขียนภาพถ่ายรังสีลงแผ่นซีดี  (100)  </t>
  </si>
  <si>
    <t xml:space="preserve">ค่าพิมพ์ภาพอัลตราซาวน์  (100)  </t>
  </si>
  <si>
    <t xml:space="preserve">ให้การรักษาด้วยคลื่นอุลตราซาวน์ (ultrasound therapy)  (250)  </t>
  </si>
  <si>
    <t xml:space="preserve">ให้การรักษาด้วยเลเซอร์กำลังต่ำ (LILT)  (250)  </t>
  </si>
  <si>
    <t xml:space="preserve">ให้การรักษาด้วยเครื่องกระตุ้นไฟฟ้า (ES)  (200)  </t>
  </si>
  <si>
    <t xml:space="preserve">ให้บริการลู่วิ่งใต้น้ำ (UTM) : Dog &lt; 15 kg  (250)  </t>
  </si>
  <si>
    <t xml:space="preserve">ให้บริการลู่วิ่งใต้น้ำ (UTM) : Dog &gt; 15 kg  (300)  </t>
  </si>
  <si>
    <t xml:space="preserve">ว่ายน้ำ (สระว่ายน้ำระบบน้ำวน) : ไม่รวมค่าอาบน้ำ-เป่าขน  (200)  </t>
  </si>
  <si>
    <t>On bird (การใช้เครื่องช่วยหายใจ)  &lt; 8 ชั่วโมง</t>
  </si>
  <si>
    <r>
      <t>ค่าหัตถการทำแผล ขนาดเล็ก ขนาด 0.1 - 10  cm</t>
    </r>
    <r>
      <rPr>
        <vertAlign val="superscript"/>
        <sz val="11"/>
        <color theme="1"/>
        <rFont val="Tahoma"/>
        <family val="2"/>
        <scheme val="minor"/>
      </rPr>
      <t>2</t>
    </r>
    <r>
      <rPr>
        <sz val="11"/>
        <color theme="1"/>
        <rFont val="Tahoma"/>
        <family val="2"/>
        <scheme val="minor"/>
      </rPr>
      <t xml:space="preserve">  (100)  </t>
    </r>
  </si>
  <si>
    <r>
      <t>ค่าหัตถการทำแผล ขนาดกลาง ขนาด 10 - 30  cm</t>
    </r>
    <r>
      <rPr>
        <vertAlign val="superscript"/>
        <sz val="11"/>
        <color theme="1"/>
        <rFont val="Tahoma"/>
        <family val="2"/>
        <scheme val="minor"/>
      </rPr>
      <t>2</t>
    </r>
    <r>
      <rPr>
        <sz val="11"/>
        <color theme="1"/>
        <rFont val="Tahoma"/>
        <family val="2"/>
        <scheme val="minor"/>
      </rPr>
      <t xml:space="preserve">  (150)  </t>
    </r>
  </si>
  <si>
    <r>
      <t>ค่าหัตถการทำแผล ขนาดเล็ก ขนาด 30 - 50  cm</t>
    </r>
    <r>
      <rPr>
        <vertAlign val="superscript"/>
        <sz val="11"/>
        <color theme="1"/>
        <rFont val="Tahoma"/>
        <family val="2"/>
        <scheme val="minor"/>
      </rPr>
      <t>2</t>
    </r>
    <r>
      <rPr>
        <sz val="11"/>
        <color theme="1"/>
        <rFont val="Tahoma"/>
        <family val="2"/>
        <scheme val="minor"/>
      </rPr>
      <t xml:space="preserve">  (200)  </t>
    </r>
  </si>
  <si>
    <r>
      <t>ค่าหัตถการทำแผล ขนาดเล็ก ขนาด 50 - 80  cm</t>
    </r>
    <r>
      <rPr>
        <vertAlign val="superscript"/>
        <sz val="11"/>
        <color theme="1"/>
        <rFont val="Tahoma"/>
        <family val="2"/>
        <scheme val="minor"/>
      </rPr>
      <t>2</t>
    </r>
    <r>
      <rPr>
        <sz val="11"/>
        <color theme="1"/>
        <rFont val="Tahoma"/>
        <family val="2"/>
        <scheme val="minor"/>
      </rPr>
      <t xml:space="preserve">  (250)  </t>
    </r>
  </si>
  <si>
    <r>
      <t>ค่าหัตถการทำแผล ขนาดเล็ก ขนาด 80 cm</t>
    </r>
    <r>
      <rPr>
        <vertAlign val="superscript"/>
        <sz val="11"/>
        <color theme="1"/>
        <rFont val="Tahoma"/>
        <family val="2"/>
        <scheme val="minor"/>
      </rPr>
      <t>2</t>
    </r>
    <r>
      <rPr>
        <sz val="11"/>
        <color theme="1"/>
        <rFont val="Tahoma"/>
        <family val="2"/>
        <scheme val="minor"/>
      </rPr>
      <t xml:space="preserve"> ขึ้นไป  (350)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</si>
</sst>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(* #,##0.00_);_(* \(#,##0.00\);_(* &quot;-&quot;??_);_(@_)"/>
    <numFmt numFmtId="188" formatCode="_(* #,##0_);_(* \(#,##0\);_(* &quot;-&quot;??_);_(@_)"/>
  </numFmts>
  <fonts count="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000000"/>
      <name val="Arial"/>
      <family val="2"/>
    </font>
    <font>
      <vertAlign val="superscript"/>
      <sz val="11"/>
      <color theme="1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87" fontId="1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3" fillId="2" borderId="1" xfId="2" applyFont="1" applyFill="1" applyBorder="1"/>
    <xf numFmtId="0" fontId="3" fillId="2" borderId="1" xfId="0" applyFont="1" applyFill="1" applyBorder="1"/>
    <xf numFmtId="0" fontId="2" fillId="0" borderId="0" xfId="0" applyFont="1"/>
    <xf numFmtId="0" fontId="0" fillId="3" borderId="0" xfId="0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188" fontId="0" fillId="0" borderId="0" xfId="1" applyNumberFormat="1" applyFont="1"/>
    <xf numFmtId="0" fontId="4" fillId="0" borderId="0" xfId="0" applyFont="1" applyAlignment="1">
      <alignment wrapText="1"/>
    </xf>
    <xf numFmtId="0" fontId="3" fillId="8" borderId="1" xfId="0" applyFont="1" applyFill="1" applyBorder="1"/>
    <xf numFmtId="188" fontId="3" fillId="8" borderId="1" xfId="1" applyNumberFormat="1" applyFont="1" applyFill="1" applyBorder="1"/>
    <xf numFmtId="0" fontId="3" fillId="3" borderId="0" xfId="0" applyFont="1" applyFill="1"/>
    <xf numFmtId="0" fontId="6" fillId="3" borderId="0" xfId="0" applyFont="1" applyFill="1"/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88" fontId="4" fillId="0" borderId="0" xfId="1" applyNumberFormat="1" applyFont="1" applyAlignment="1">
      <alignment horizontal="center" vertical="center"/>
    </xf>
    <xf numFmtId="0" fontId="6" fillId="0" borderId="0" xfId="0" applyFont="1"/>
    <xf numFmtId="188" fontId="4" fillId="0" borderId="0" xfId="1" applyNumberFormat="1" applyFont="1" applyAlignment="1">
      <alignment horizontal="center"/>
    </xf>
    <xf numFmtId="0" fontId="0" fillId="0" borderId="0" xfId="0" applyFill="1"/>
    <xf numFmtId="0" fontId="4" fillId="9" borderId="0" xfId="0" applyFont="1" applyFill="1" applyAlignment="1">
      <alignment wrapText="1"/>
    </xf>
    <xf numFmtId="3" fontId="4" fillId="0" borderId="0" xfId="1" applyNumberFormat="1" applyFont="1" applyFill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0" fontId="3" fillId="2" borderId="1" xfId="0" applyFont="1" applyFill="1" applyBorder="1" applyAlignment="1"/>
    <xf numFmtId="0" fontId="0" fillId="0" borderId="0" xfId="0" applyAlignment="1"/>
    <xf numFmtId="0" fontId="4" fillId="7" borderId="0" xfId="0" applyFont="1" applyFill="1" applyAlignment="1">
      <alignment vertical="top" wrapText="1"/>
    </xf>
    <xf numFmtId="0" fontId="4" fillId="7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9" borderId="0" xfId="0" applyFont="1" applyFill="1" applyAlignment="1">
      <alignment vertical="top"/>
    </xf>
    <xf numFmtId="0" fontId="3" fillId="5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3" fillId="5" borderId="0" xfId="0" applyFont="1" applyFill="1" applyAlignment="1">
      <alignment vertical="center" wrapText="1"/>
    </xf>
    <xf numFmtId="0" fontId="2" fillId="0" borderId="0" xfId="0" applyFont="1" applyAlignment="1"/>
    <xf numFmtId="3" fontId="0" fillId="0" borderId="0" xfId="0" applyNumberFormat="1" applyFill="1" applyAlignment="1">
      <alignment horizontal="right"/>
    </xf>
    <xf numFmtId="3" fontId="4" fillId="0" borderId="0" xfId="1" applyNumberFormat="1" applyFont="1" applyFill="1" applyAlignment="1">
      <alignment horizontal="right"/>
    </xf>
    <xf numFmtId="3" fontId="4" fillId="0" borderId="0" xfId="0" applyNumberFormat="1" applyFont="1" applyFill="1" applyAlignment="1">
      <alignment horizontal="right"/>
    </xf>
    <xf numFmtId="3" fontId="0" fillId="0" borderId="0" xfId="1" applyNumberFormat="1" applyFont="1" applyFill="1"/>
    <xf numFmtId="3" fontId="2" fillId="0" borderId="0" xfId="0" applyNumberFormat="1" applyFont="1" applyFill="1" applyAlignment="1">
      <alignment horizontal="right"/>
    </xf>
    <xf numFmtId="3" fontId="3" fillId="9" borderId="1" xfId="0" applyNumberFormat="1" applyFont="1" applyFill="1" applyBorder="1" applyAlignment="1">
      <alignment horizontal="right"/>
    </xf>
    <xf numFmtId="0" fontId="3" fillId="9" borderId="0" xfId="0" applyFont="1" applyFill="1" applyAlignment="1">
      <alignment vertical="top" wrapText="1"/>
    </xf>
    <xf numFmtId="0" fontId="3" fillId="7" borderId="0" xfId="0" applyFont="1" applyFill="1" applyAlignment="1">
      <alignment wrapText="1"/>
    </xf>
  </cellXfs>
  <cellStyles count="3">
    <cellStyle name="Normal 2" xfId="2" xr:uid="{4BCD75DA-667F-4F56-9F63-29EE8DF19334}"/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A2CA-01A8-4043-BBEE-4E04F4A3117A}">
  <dimension ref="A1:G1222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4.5" defaultRowHeight="12.75" x14ac:dyDescent="0.2"/>
  <cols>
    <col min="1" max="1" width="11.125" style="3" bestFit="1" customWidth="1"/>
    <col min="2" max="2" width="107.875" style="35" customWidth="1"/>
    <col min="3" max="3" width="11.75" style="3" bestFit="1" customWidth="1"/>
    <col min="4" max="4" width="8.875" style="3" bestFit="1" customWidth="1"/>
    <col min="5" max="5" width="8.125" style="40" customWidth="1"/>
    <col min="6" max="6" width="14.5" style="3"/>
    <col min="7" max="7" width="40.625" style="3" customWidth="1"/>
    <col min="8" max="16384" width="14.5" style="3"/>
  </cols>
  <sheetData>
    <row r="1" spans="1:7" ht="15.75" customHeight="1" x14ac:dyDescent="0.2">
      <c r="A1" s="1" t="s">
        <v>0</v>
      </c>
      <c r="B1" s="25" t="s">
        <v>1</v>
      </c>
      <c r="C1" s="2" t="s">
        <v>2</v>
      </c>
      <c r="D1" s="2" t="s">
        <v>3</v>
      </c>
      <c r="E1" s="41" t="s">
        <v>4</v>
      </c>
      <c r="F1" s="2" t="s">
        <v>5</v>
      </c>
    </row>
    <row r="2" spans="1:7" customFormat="1" ht="14.25" x14ac:dyDescent="0.2">
      <c r="B2" s="26" t="s">
        <v>142</v>
      </c>
      <c r="D2" s="6"/>
      <c r="E2" s="23">
        <v>50</v>
      </c>
      <c r="G2" s="3"/>
    </row>
    <row r="3" spans="1:7" customFormat="1" ht="14.25" x14ac:dyDescent="0.2">
      <c r="B3" s="26" t="s">
        <v>143</v>
      </c>
      <c r="D3" s="6"/>
      <c r="E3" s="23">
        <v>80</v>
      </c>
      <c r="G3" s="3"/>
    </row>
    <row r="4" spans="1:7" customFormat="1" ht="14.25" x14ac:dyDescent="0.2">
      <c r="B4" s="26" t="s">
        <v>144</v>
      </c>
      <c r="D4" s="6"/>
      <c r="E4" s="23">
        <v>100</v>
      </c>
      <c r="G4" s="3"/>
    </row>
    <row r="5" spans="1:7" customFormat="1" ht="14.25" x14ac:dyDescent="0.2">
      <c r="B5" s="26" t="s">
        <v>145</v>
      </c>
      <c r="D5" s="6"/>
      <c r="E5" s="23">
        <v>100</v>
      </c>
      <c r="G5" s="3"/>
    </row>
    <row r="6" spans="1:7" customFormat="1" ht="14.25" x14ac:dyDescent="0.2">
      <c r="B6" s="26" t="s">
        <v>146</v>
      </c>
      <c r="D6" s="6"/>
      <c r="E6" s="23">
        <v>120</v>
      </c>
      <c r="G6" s="3"/>
    </row>
    <row r="7" spans="1:7" customFormat="1" ht="14.25" x14ac:dyDescent="0.2">
      <c r="B7" s="26" t="s">
        <v>147</v>
      </c>
      <c r="D7" s="6"/>
      <c r="E7" s="23">
        <v>150</v>
      </c>
      <c r="G7" s="3"/>
    </row>
    <row r="8" spans="1:7" customFormat="1" ht="14.25" x14ac:dyDescent="0.2">
      <c r="B8" s="26" t="s">
        <v>148</v>
      </c>
      <c r="D8" s="6"/>
      <c r="E8" s="23">
        <v>150</v>
      </c>
      <c r="G8" s="3"/>
    </row>
    <row r="9" spans="1:7" customFormat="1" ht="14.25" x14ac:dyDescent="0.2">
      <c r="B9" s="26" t="s">
        <v>149</v>
      </c>
      <c r="D9" s="6"/>
      <c r="E9" s="23">
        <v>170</v>
      </c>
      <c r="G9" s="3"/>
    </row>
    <row r="10" spans="1:7" customFormat="1" ht="14.25" x14ac:dyDescent="0.2">
      <c r="B10" s="26" t="s">
        <v>150</v>
      </c>
      <c r="D10" s="6"/>
      <c r="E10" s="23">
        <v>200</v>
      </c>
      <c r="G10" s="3"/>
    </row>
    <row r="11" spans="1:7" customFormat="1" ht="14.25" x14ac:dyDescent="0.2">
      <c r="B11" s="26" t="s">
        <v>151</v>
      </c>
      <c r="D11" s="6"/>
      <c r="E11" s="23">
        <v>80</v>
      </c>
      <c r="G11" s="3"/>
    </row>
    <row r="12" spans="1:7" customFormat="1" ht="14.25" x14ac:dyDescent="0.2">
      <c r="B12" s="26" t="s">
        <v>152</v>
      </c>
      <c r="D12" s="6"/>
      <c r="E12" s="23">
        <v>70</v>
      </c>
      <c r="G12" s="3"/>
    </row>
    <row r="13" spans="1:7" customFormat="1" ht="14.25" x14ac:dyDescent="0.2">
      <c r="B13" s="26" t="s">
        <v>153</v>
      </c>
      <c r="D13" s="6"/>
      <c r="E13" s="23">
        <v>60</v>
      </c>
      <c r="G13" s="3"/>
    </row>
    <row r="14" spans="1:7" customFormat="1" ht="14.25" x14ac:dyDescent="0.2">
      <c r="B14" s="26" t="s">
        <v>154</v>
      </c>
      <c r="D14" s="6"/>
      <c r="E14" s="23">
        <v>70</v>
      </c>
      <c r="G14" s="3"/>
    </row>
    <row r="15" spans="1:7" customFormat="1" ht="14.25" x14ac:dyDescent="0.2">
      <c r="B15" s="26" t="s">
        <v>155</v>
      </c>
      <c r="D15" s="6"/>
      <c r="E15" s="23">
        <v>3</v>
      </c>
      <c r="G15" s="3"/>
    </row>
    <row r="16" spans="1:7" customFormat="1" ht="14.25" x14ac:dyDescent="0.2">
      <c r="B16" s="26" t="s">
        <v>156</v>
      </c>
      <c r="D16" s="6"/>
      <c r="E16" s="23">
        <v>3</v>
      </c>
      <c r="G16" s="3"/>
    </row>
    <row r="17" spans="1:7" customFormat="1" ht="14.25" x14ac:dyDescent="0.2">
      <c r="B17" s="26" t="s">
        <v>157</v>
      </c>
      <c r="D17" s="6"/>
      <c r="E17" s="23">
        <v>500</v>
      </c>
      <c r="G17" s="3"/>
    </row>
    <row r="18" spans="1:7" customFormat="1" ht="16.149999999999999" customHeight="1" x14ac:dyDescent="0.2">
      <c r="A18" s="7"/>
      <c r="B18" s="22" t="s">
        <v>7</v>
      </c>
      <c r="D18" s="6"/>
      <c r="E18" s="23"/>
    </row>
    <row r="19" spans="1:7" customFormat="1" ht="14.25" x14ac:dyDescent="0.2">
      <c r="B19" s="26" t="s">
        <v>158</v>
      </c>
      <c r="D19" s="6"/>
      <c r="E19" s="23">
        <v>1000</v>
      </c>
      <c r="G19" s="3"/>
    </row>
    <row r="20" spans="1:7" customFormat="1" ht="14.25" x14ac:dyDescent="0.2">
      <c r="B20" s="26" t="s">
        <v>159</v>
      </c>
      <c r="D20" s="6"/>
      <c r="E20" s="23">
        <v>1500</v>
      </c>
      <c r="G20" s="3"/>
    </row>
    <row r="21" spans="1:7" customFormat="1" ht="14.25" x14ac:dyDescent="0.2">
      <c r="B21" s="26" t="s">
        <v>160</v>
      </c>
      <c r="D21" s="6"/>
      <c r="E21" s="23">
        <v>2000</v>
      </c>
      <c r="G21" s="3"/>
    </row>
    <row r="22" spans="1:7" customFormat="1" ht="14.25" x14ac:dyDescent="0.2">
      <c r="B22" s="26" t="s">
        <v>161</v>
      </c>
      <c r="D22" s="6"/>
      <c r="E22" s="23">
        <v>3000</v>
      </c>
      <c r="G22" s="3"/>
    </row>
    <row r="23" spans="1:7" customFormat="1" ht="14.25" x14ac:dyDescent="0.2">
      <c r="B23" s="26" t="s">
        <v>162</v>
      </c>
      <c r="D23" s="6"/>
      <c r="E23" s="23">
        <v>2000</v>
      </c>
      <c r="G23" s="3"/>
    </row>
    <row r="24" spans="1:7" customFormat="1" ht="14.25" x14ac:dyDescent="0.2">
      <c r="B24" s="26" t="s">
        <v>163</v>
      </c>
      <c r="D24" s="6"/>
      <c r="E24" s="23">
        <v>3500</v>
      </c>
      <c r="G24" s="3"/>
    </row>
    <row r="25" spans="1:7" customFormat="1" ht="14.25" x14ac:dyDescent="0.2">
      <c r="B25" s="26" t="s">
        <v>164</v>
      </c>
      <c r="D25" s="6"/>
      <c r="E25" s="23">
        <v>1500</v>
      </c>
      <c r="G25" s="3"/>
    </row>
    <row r="26" spans="1:7" customFormat="1" ht="14.25" x14ac:dyDescent="0.2">
      <c r="B26" s="26" t="s">
        <v>165</v>
      </c>
      <c r="D26" s="6"/>
      <c r="E26" s="23">
        <v>1500</v>
      </c>
      <c r="G26" s="3"/>
    </row>
    <row r="27" spans="1:7" customFormat="1" ht="14.25" x14ac:dyDescent="0.2">
      <c r="B27" s="26" t="s">
        <v>166</v>
      </c>
      <c r="D27" s="6"/>
      <c r="E27" s="23">
        <v>1500</v>
      </c>
      <c r="G27" s="3"/>
    </row>
    <row r="28" spans="1:7" customFormat="1" ht="15" customHeight="1" x14ac:dyDescent="0.2">
      <c r="B28" s="26" t="s">
        <v>167</v>
      </c>
      <c r="D28" s="6"/>
      <c r="E28" s="23">
        <v>2000</v>
      </c>
      <c r="G28" s="3"/>
    </row>
    <row r="29" spans="1:7" customFormat="1" ht="14.25" x14ac:dyDescent="0.2">
      <c r="A29" s="7"/>
      <c r="B29" s="42" t="s">
        <v>8</v>
      </c>
      <c r="C29" s="7"/>
      <c r="D29" s="8"/>
      <c r="E29" s="23"/>
    </row>
    <row r="30" spans="1:7" customFormat="1" ht="14.25" x14ac:dyDescent="0.2">
      <c r="B30" s="26" t="s">
        <v>168</v>
      </c>
      <c r="E30" s="24">
        <v>50</v>
      </c>
      <c r="G30" s="3"/>
    </row>
    <row r="31" spans="1:7" customFormat="1" ht="14.25" x14ac:dyDescent="0.2">
      <c r="B31" s="26" t="s">
        <v>169</v>
      </c>
      <c r="E31" s="24">
        <v>50</v>
      </c>
      <c r="G31" s="3"/>
    </row>
    <row r="32" spans="1:7" customFormat="1" ht="14.25" x14ac:dyDescent="0.2">
      <c r="B32" s="26" t="s">
        <v>170</v>
      </c>
      <c r="E32" s="24">
        <v>25</v>
      </c>
      <c r="G32" s="3"/>
    </row>
    <row r="33" spans="2:7" customFormat="1" ht="14.25" x14ac:dyDescent="0.2">
      <c r="B33" s="26" t="s">
        <v>171</v>
      </c>
      <c r="E33" s="24">
        <v>300</v>
      </c>
      <c r="G33" s="3"/>
    </row>
    <row r="34" spans="2:7" customFormat="1" ht="14.25" x14ac:dyDescent="0.2">
      <c r="B34" s="26" t="s">
        <v>172</v>
      </c>
      <c r="E34" s="24">
        <v>400</v>
      </c>
      <c r="G34" s="3"/>
    </row>
    <row r="35" spans="2:7" customFormat="1" ht="14.25" x14ac:dyDescent="0.2">
      <c r="B35" s="26" t="s">
        <v>173</v>
      </c>
      <c r="E35" s="24">
        <v>500</v>
      </c>
      <c r="G35" s="3"/>
    </row>
    <row r="36" spans="2:7" customFormat="1" ht="14.25" x14ac:dyDescent="0.2">
      <c r="B36" s="26" t="s">
        <v>174</v>
      </c>
      <c r="E36" s="24">
        <v>120</v>
      </c>
      <c r="G36" s="3"/>
    </row>
    <row r="37" spans="2:7" customFormat="1" ht="14.25" x14ac:dyDescent="0.2">
      <c r="B37" s="26" t="s">
        <v>175</v>
      </c>
      <c r="E37" s="24">
        <v>300</v>
      </c>
      <c r="G37" s="3"/>
    </row>
    <row r="38" spans="2:7" customFormat="1" ht="14.25" x14ac:dyDescent="0.2">
      <c r="B38" s="26" t="s">
        <v>176</v>
      </c>
      <c r="E38" s="24">
        <v>400</v>
      </c>
      <c r="G38" s="3"/>
    </row>
    <row r="39" spans="2:7" customFormat="1" ht="14.25" x14ac:dyDescent="0.2">
      <c r="B39" s="26" t="s">
        <v>177</v>
      </c>
      <c r="E39" s="24">
        <v>400</v>
      </c>
      <c r="G39" s="3"/>
    </row>
    <row r="40" spans="2:7" customFormat="1" ht="14.25" x14ac:dyDescent="0.2">
      <c r="B40" s="26" t="s">
        <v>178</v>
      </c>
      <c r="E40" s="24">
        <v>500</v>
      </c>
      <c r="G40" s="3"/>
    </row>
    <row r="41" spans="2:7" customFormat="1" ht="14.25" x14ac:dyDescent="0.2">
      <c r="B41" s="26" t="s">
        <v>179</v>
      </c>
      <c r="E41" s="24">
        <v>400</v>
      </c>
      <c r="G41" s="3"/>
    </row>
    <row r="42" spans="2:7" customFormat="1" ht="14.25" x14ac:dyDescent="0.2">
      <c r="B42" s="26" t="s">
        <v>180</v>
      </c>
      <c r="E42" s="24">
        <v>500</v>
      </c>
      <c r="G42" s="3"/>
    </row>
    <row r="43" spans="2:7" customFormat="1" ht="14.25" x14ac:dyDescent="0.2">
      <c r="B43" s="26" t="s">
        <v>181</v>
      </c>
      <c r="E43" s="24">
        <v>300</v>
      </c>
      <c r="G43" s="3"/>
    </row>
    <row r="44" spans="2:7" customFormat="1" ht="14.25" x14ac:dyDescent="0.2">
      <c r="B44" s="42" t="s">
        <v>138</v>
      </c>
      <c r="E44" s="24"/>
    </row>
    <row r="45" spans="2:7" customFormat="1" ht="14.25" x14ac:dyDescent="0.2">
      <c r="B45" s="26" t="s">
        <v>182</v>
      </c>
      <c r="E45" s="24">
        <v>150</v>
      </c>
      <c r="G45" s="3"/>
    </row>
    <row r="46" spans="2:7" customFormat="1" ht="14.25" x14ac:dyDescent="0.2">
      <c r="B46" s="26" t="s">
        <v>183</v>
      </c>
      <c r="E46" s="24">
        <v>200</v>
      </c>
      <c r="G46" s="3"/>
    </row>
    <row r="47" spans="2:7" customFormat="1" ht="14.25" x14ac:dyDescent="0.2">
      <c r="B47" s="26" t="s">
        <v>184</v>
      </c>
      <c r="E47" s="24">
        <v>300</v>
      </c>
      <c r="G47" s="3"/>
    </row>
    <row r="48" spans="2:7" customFormat="1" ht="14.25" x14ac:dyDescent="0.2">
      <c r="B48" s="26" t="s">
        <v>185</v>
      </c>
      <c r="E48" s="24">
        <v>150</v>
      </c>
      <c r="G48" s="3"/>
    </row>
    <row r="49" spans="2:7" customFormat="1" ht="14.25" x14ac:dyDescent="0.2">
      <c r="B49" s="42" t="s">
        <v>1274</v>
      </c>
      <c r="E49" s="24"/>
    </row>
    <row r="50" spans="2:7" customFormat="1" ht="14.25" x14ac:dyDescent="0.2">
      <c r="B50" s="26" t="s">
        <v>186</v>
      </c>
      <c r="E50" s="24">
        <v>300</v>
      </c>
      <c r="G50" s="3"/>
    </row>
    <row r="51" spans="2:7" customFormat="1" ht="14.25" x14ac:dyDescent="0.2">
      <c r="B51" s="26" t="s">
        <v>187</v>
      </c>
      <c r="E51" s="24">
        <v>500</v>
      </c>
      <c r="G51" s="3"/>
    </row>
    <row r="52" spans="2:7" customFormat="1" ht="14.25" x14ac:dyDescent="0.2">
      <c r="B52" s="26" t="s">
        <v>188</v>
      </c>
      <c r="E52" s="24">
        <v>350</v>
      </c>
      <c r="G52" s="3"/>
    </row>
    <row r="53" spans="2:7" customFormat="1" ht="14.25" x14ac:dyDescent="0.2">
      <c r="B53" s="26" t="s">
        <v>189</v>
      </c>
      <c r="E53" s="24">
        <v>50</v>
      </c>
      <c r="G53" s="3"/>
    </row>
    <row r="54" spans="2:7" customFormat="1" ht="14.25" x14ac:dyDescent="0.2">
      <c r="B54" s="26" t="s">
        <v>190</v>
      </c>
      <c r="E54" s="24">
        <v>50</v>
      </c>
      <c r="G54" s="3"/>
    </row>
    <row r="55" spans="2:7" customFormat="1" ht="14.25" x14ac:dyDescent="0.2">
      <c r="B55" s="26" t="s">
        <v>191</v>
      </c>
      <c r="E55" s="24">
        <v>150</v>
      </c>
      <c r="G55" s="3"/>
    </row>
    <row r="56" spans="2:7" customFormat="1" ht="14.25" x14ac:dyDescent="0.2">
      <c r="B56" s="26" t="s">
        <v>192</v>
      </c>
      <c r="E56" s="24">
        <v>200</v>
      </c>
      <c r="G56" s="3"/>
    </row>
    <row r="57" spans="2:7" customFormat="1" ht="14.25" x14ac:dyDescent="0.2">
      <c r="B57" s="26" t="s">
        <v>193</v>
      </c>
      <c r="E57" s="24">
        <v>300</v>
      </c>
      <c r="G57" s="3"/>
    </row>
    <row r="58" spans="2:7" customFormat="1" ht="14.25" x14ac:dyDescent="0.2">
      <c r="B58" s="26" t="s">
        <v>194</v>
      </c>
      <c r="E58" s="24">
        <v>400</v>
      </c>
      <c r="G58" s="3"/>
    </row>
    <row r="59" spans="2:7" customFormat="1" ht="14.25" x14ac:dyDescent="0.2">
      <c r="B59" s="26" t="s">
        <v>195</v>
      </c>
      <c r="E59" s="24">
        <v>500</v>
      </c>
      <c r="G59" s="3"/>
    </row>
    <row r="60" spans="2:7" customFormat="1" ht="14.25" x14ac:dyDescent="0.2">
      <c r="B60" s="26" t="s">
        <v>196</v>
      </c>
      <c r="E60" s="24">
        <v>300</v>
      </c>
      <c r="G60" s="3"/>
    </row>
    <row r="61" spans="2:7" customFormat="1" ht="14.25" x14ac:dyDescent="0.2">
      <c r="B61" s="26" t="s">
        <v>197</v>
      </c>
      <c r="E61" s="24">
        <v>400</v>
      </c>
      <c r="G61" s="3"/>
    </row>
    <row r="62" spans="2:7" customFormat="1" ht="14.25" x14ac:dyDescent="0.2">
      <c r="B62" s="26" t="s">
        <v>198</v>
      </c>
      <c r="E62" s="24">
        <v>500</v>
      </c>
      <c r="G62" s="3"/>
    </row>
    <row r="63" spans="2:7" customFormat="1" ht="14.25" x14ac:dyDescent="0.2">
      <c r="B63" s="26" t="s">
        <v>199</v>
      </c>
      <c r="E63" s="24">
        <v>500</v>
      </c>
      <c r="G63" s="3"/>
    </row>
    <row r="64" spans="2:7" customFormat="1" ht="14.25" x14ac:dyDescent="0.2">
      <c r="B64" s="26" t="s">
        <v>200</v>
      </c>
      <c r="E64" s="24">
        <v>700</v>
      </c>
      <c r="G64" s="3"/>
    </row>
    <row r="65" spans="2:7" customFormat="1" ht="14.25" x14ac:dyDescent="0.2">
      <c r="B65" s="26" t="s">
        <v>201</v>
      </c>
      <c r="E65" s="24">
        <v>800</v>
      </c>
      <c r="G65" s="3"/>
    </row>
    <row r="66" spans="2:7" customFormat="1" ht="14.25" x14ac:dyDescent="0.2">
      <c r="B66" s="26" t="s">
        <v>202</v>
      </c>
      <c r="E66" s="24">
        <v>1000</v>
      </c>
      <c r="G66" s="3"/>
    </row>
    <row r="67" spans="2:7" customFormat="1" ht="14.25" x14ac:dyDescent="0.2">
      <c r="B67" s="26" t="s">
        <v>203</v>
      </c>
      <c r="E67" s="24">
        <v>150</v>
      </c>
      <c r="G67" s="3"/>
    </row>
    <row r="68" spans="2:7" customFormat="1" ht="14.25" x14ac:dyDescent="0.2">
      <c r="B68" s="42" t="s">
        <v>139</v>
      </c>
      <c r="E68" s="24"/>
    </row>
    <row r="69" spans="2:7" customFormat="1" ht="14.25" x14ac:dyDescent="0.2">
      <c r="B69" s="26" t="s">
        <v>204</v>
      </c>
      <c r="E69" s="24">
        <v>500</v>
      </c>
      <c r="G69" s="3"/>
    </row>
    <row r="70" spans="2:7" customFormat="1" ht="14.25" x14ac:dyDescent="0.2">
      <c r="B70" s="26" t="s">
        <v>205</v>
      </c>
      <c r="E70" s="24">
        <v>700</v>
      </c>
      <c r="G70" s="3"/>
    </row>
    <row r="71" spans="2:7" customFormat="1" ht="14.25" x14ac:dyDescent="0.2">
      <c r="B71" s="26" t="s">
        <v>206</v>
      </c>
      <c r="E71" s="24">
        <v>1000</v>
      </c>
      <c r="G71" s="3"/>
    </row>
    <row r="72" spans="2:7" customFormat="1" ht="14.25" x14ac:dyDescent="0.2">
      <c r="B72" s="26" t="s">
        <v>207</v>
      </c>
      <c r="E72" s="24">
        <v>50</v>
      </c>
      <c r="G72" s="3"/>
    </row>
    <row r="73" spans="2:7" customFormat="1" ht="14.25" x14ac:dyDescent="0.2">
      <c r="B73" s="26" t="s">
        <v>208</v>
      </c>
      <c r="E73" s="24">
        <v>50</v>
      </c>
      <c r="G73" s="3"/>
    </row>
    <row r="74" spans="2:7" customFormat="1" ht="14.25" x14ac:dyDescent="0.2">
      <c r="B74" s="26" t="s">
        <v>209</v>
      </c>
      <c r="E74" s="24">
        <v>80</v>
      </c>
      <c r="G74" s="3"/>
    </row>
    <row r="75" spans="2:7" customFormat="1" ht="14.25" x14ac:dyDescent="0.2">
      <c r="B75" s="26" t="s">
        <v>210</v>
      </c>
      <c r="E75" s="24">
        <v>60</v>
      </c>
      <c r="G75" s="3"/>
    </row>
    <row r="76" spans="2:7" customFormat="1" ht="14.25" x14ac:dyDescent="0.2">
      <c r="B76" s="26" t="s">
        <v>211</v>
      </c>
      <c r="E76" s="24">
        <v>120</v>
      </c>
      <c r="G76" s="3"/>
    </row>
    <row r="77" spans="2:7" customFormat="1" ht="14.25" x14ac:dyDescent="0.2">
      <c r="B77" s="26" t="s">
        <v>212</v>
      </c>
      <c r="E77" s="24">
        <v>100</v>
      </c>
      <c r="G77" s="3"/>
    </row>
    <row r="78" spans="2:7" customFormat="1" ht="14.25" x14ac:dyDescent="0.2">
      <c r="B78" s="26" t="s">
        <v>213</v>
      </c>
      <c r="E78" s="24">
        <v>150</v>
      </c>
      <c r="G78" s="3"/>
    </row>
    <row r="79" spans="2:7" customFormat="1" ht="14.25" x14ac:dyDescent="0.2">
      <c r="B79" s="26" t="s">
        <v>214</v>
      </c>
      <c r="E79" s="24">
        <v>500</v>
      </c>
      <c r="G79" s="3"/>
    </row>
    <row r="80" spans="2:7" customFormat="1" ht="14.25" x14ac:dyDescent="0.2">
      <c r="B80" s="26" t="s">
        <v>215</v>
      </c>
      <c r="E80" s="24">
        <v>1000</v>
      </c>
      <c r="G80" s="3"/>
    </row>
    <row r="81" spans="2:7" customFormat="1" ht="14.25" x14ac:dyDescent="0.2">
      <c r="B81" s="26" t="s">
        <v>216</v>
      </c>
      <c r="E81" s="24">
        <v>80</v>
      </c>
      <c r="G81" s="3"/>
    </row>
    <row r="82" spans="2:7" customFormat="1" ht="14.25" x14ac:dyDescent="0.2">
      <c r="B82" s="26" t="s">
        <v>217</v>
      </c>
      <c r="E82" s="24">
        <v>80</v>
      </c>
      <c r="G82" s="3"/>
    </row>
    <row r="83" spans="2:7" customFormat="1" ht="14.25" x14ac:dyDescent="0.2">
      <c r="B83" s="26" t="s">
        <v>218</v>
      </c>
      <c r="E83" s="24">
        <v>50</v>
      </c>
      <c r="G83" s="3"/>
    </row>
    <row r="84" spans="2:7" customFormat="1" ht="14.25" x14ac:dyDescent="0.2">
      <c r="B84" s="26" t="s">
        <v>219</v>
      </c>
      <c r="E84" s="24">
        <v>50</v>
      </c>
      <c r="G84" s="3"/>
    </row>
    <row r="85" spans="2:7" customFormat="1" ht="14.25" x14ac:dyDescent="0.2">
      <c r="B85" s="26" t="s">
        <v>220</v>
      </c>
      <c r="E85" s="24">
        <v>50</v>
      </c>
      <c r="G85" s="3"/>
    </row>
    <row r="86" spans="2:7" customFormat="1" ht="14.25" x14ac:dyDescent="0.2">
      <c r="B86" s="26" t="s">
        <v>221</v>
      </c>
      <c r="E86" s="24">
        <v>400</v>
      </c>
      <c r="G86" s="3"/>
    </row>
    <row r="87" spans="2:7" customFormat="1" ht="14.25" x14ac:dyDescent="0.2">
      <c r="B87" s="26" t="s">
        <v>222</v>
      </c>
      <c r="E87" s="24">
        <v>1500</v>
      </c>
      <c r="G87" s="3"/>
    </row>
    <row r="88" spans="2:7" customFormat="1" ht="14.25" x14ac:dyDescent="0.2">
      <c r="B88" s="26" t="s">
        <v>223</v>
      </c>
      <c r="E88" s="24">
        <v>500</v>
      </c>
      <c r="G88" s="3"/>
    </row>
    <row r="89" spans="2:7" customFormat="1" ht="14.25" x14ac:dyDescent="0.2">
      <c r="B89" s="26" t="s">
        <v>224</v>
      </c>
      <c r="E89" s="24">
        <v>50</v>
      </c>
      <c r="G89" s="3"/>
    </row>
    <row r="90" spans="2:7" customFormat="1" ht="14.25" x14ac:dyDescent="0.2">
      <c r="B90" s="26" t="s">
        <v>225</v>
      </c>
      <c r="E90" s="24">
        <v>50</v>
      </c>
      <c r="G90" s="3"/>
    </row>
    <row r="91" spans="2:7" customFormat="1" ht="14.25" x14ac:dyDescent="0.2">
      <c r="B91" s="26" t="s">
        <v>226</v>
      </c>
      <c r="E91" s="24">
        <v>30</v>
      </c>
      <c r="G91" s="3"/>
    </row>
    <row r="92" spans="2:7" customFormat="1" ht="14.25" x14ac:dyDescent="0.2">
      <c r="B92" s="26" t="s">
        <v>227</v>
      </c>
      <c r="E92" s="24">
        <v>50</v>
      </c>
      <c r="G92" s="3"/>
    </row>
    <row r="93" spans="2:7" s="21" customFormat="1" ht="14.25" x14ac:dyDescent="0.2">
      <c r="B93" s="26" t="s">
        <v>228</v>
      </c>
      <c r="E93" s="24">
        <v>50</v>
      </c>
    </row>
    <row r="94" spans="2:7" s="21" customFormat="1" ht="14.25" x14ac:dyDescent="0.2">
      <c r="B94" s="26" t="s">
        <v>229</v>
      </c>
      <c r="E94" s="24">
        <v>100</v>
      </c>
    </row>
    <row r="95" spans="2:7" s="21" customFormat="1" ht="14.25" x14ac:dyDescent="0.2">
      <c r="B95" s="26" t="s">
        <v>230</v>
      </c>
      <c r="E95" s="24">
        <v>200</v>
      </c>
    </row>
    <row r="96" spans="2:7" s="21" customFormat="1" ht="14.25" x14ac:dyDescent="0.2">
      <c r="B96" s="26" t="s">
        <v>231</v>
      </c>
      <c r="E96" s="24">
        <v>100</v>
      </c>
    </row>
    <row r="97" spans="2:7" s="21" customFormat="1" ht="14.25" x14ac:dyDescent="0.2">
      <c r="B97" s="26" t="s">
        <v>232</v>
      </c>
      <c r="E97" s="24">
        <v>200</v>
      </c>
    </row>
    <row r="98" spans="2:7" s="21" customFormat="1" ht="14.25" x14ac:dyDescent="0.2">
      <c r="B98" s="26" t="s">
        <v>233</v>
      </c>
      <c r="E98" s="24">
        <v>300</v>
      </c>
    </row>
    <row r="99" spans="2:7" customFormat="1" ht="14.25" x14ac:dyDescent="0.2">
      <c r="B99" s="26" t="s">
        <v>234</v>
      </c>
      <c r="E99" s="24">
        <v>100</v>
      </c>
      <c r="G99" s="3"/>
    </row>
    <row r="100" spans="2:7" customFormat="1" ht="14.25" x14ac:dyDescent="0.2">
      <c r="B100" s="26" t="s">
        <v>235</v>
      </c>
      <c r="E100" s="24">
        <v>100</v>
      </c>
      <c r="G100" s="3"/>
    </row>
    <row r="101" spans="2:7" customFormat="1" ht="14.25" x14ac:dyDescent="0.2">
      <c r="B101" s="26" t="s">
        <v>236</v>
      </c>
      <c r="E101" s="24">
        <v>1000</v>
      </c>
      <c r="G101" s="3"/>
    </row>
    <row r="102" spans="2:7" customFormat="1" ht="15.75" x14ac:dyDescent="0.2">
      <c r="B102" s="26" t="s">
        <v>1275</v>
      </c>
      <c r="E102" s="24">
        <v>100</v>
      </c>
      <c r="G102" s="3"/>
    </row>
    <row r="103" spans="2:7" customFormat="1" ht="15.75" x14ac:dyDescent="0.2">
      <c r="B103" s="26" t="s">
        <v>1276</v>
      </c>
      <c r="E103" s="24">
        <v>150</v>
      </c>
      <c r="G103" s="3"/>
    </row>
    <row r="104" spans="2:7" customFormat="1" ht="15.75" x14ac:dyDescent="0.2">
      <c r="B104" s="26" t="s">
        <v>1277</v>
      </c>
      <c r="E104" s="24">
        <v>200</v>
      </c>
      <c r="G104" s="3"/>
    </row>
    <row r="105" spans="2:7" customFormat="1" ht="15.75" x14ac:dyDescent="0.2">
      <c r="B105" s="26" t="s">
        <v>1278</v>
      </c>
      <c r="E105" s="24">
        <v>250</v>
      </c>
      <c r="G105" s="3"/>
    </row>
    <row r="106" spans="2:7" customFormat="1" ht="15.75" x14ac:dyDescent="0.2">
      <c r="B106" s="26" t="s">
        <v>1279</v>
      </c>
      <c r="E106" s="24">
        <v>350</v>
      </c>
      <c r="G106" s="3"/>
    </row>
    <row r="107" spans="2:7" customFormat="1" ht="14.25" x14ac:dyDescent="0.2">
      <c r="B107" s="26" t="s">
        <v>237</v>
      </c>
      <c r="E107" s="24">
        <v>20</v>
      </c>
      <c r="G107" s="3"/>
    </row>
    <row r="108" spans="2:7" customFormat="1" ht="14.25" x14ac:dyDescent="0.2">
      <c r="B108" s="26" t="s">
        <v>238</v>
      </c>
      <c r="E108" s="24">
        <v>50</v>
      </c>
      <c r="G108" s="3"/>
    </row>
    <row r="109" spans="2:7" customFormat="1" ht="14.25" x14ac:dyDescent="0.2">
      <c r="B109" s="26" t="s">
        <v>239</v>
      </c>
      <c r="E109" s="24">
        <v>100</v>
      </c>
      <c r="G109" s="3"/>
    </row>
    <row r="110" spans="2:7" customFormat="1" ht="14.25" x14ac:dyDescent="0.2">
      <c r="B110" s="26" t="s">
        <v>240</v>
      </c>
      <c r="E110" s="24">
        <v>150</v>
      </c>
      <c r="G110" s="3"/>
    </row>
    <row r="111" spans="2:7" customFormat="1" ht="14.25" x14ac:dyDescent="0.2">
      <c r="B111" s="26" t="s">
        <v>241</v>
      </c>
      <c r="E111" s="24">
        <v>200</v>
      </c>
      <c r="G111" s="3"/>
    </row>
    <row r="112" spans="2:7" customFormat="1" ht="14.25" x14ac:dyDescent="0.2">
      <c r="B112" s="26" t="s">
        <v>242</v>
      </c>
      <c r="E112" s="24">
        <v>80</v>
      </c>
      <c r="G112" s="3"/>
    </row>
    <row r="113" spans="2:7" customFormat="1" ht="14.25" x14ac:dyDescent="0.2">
      <c r="B113" s="26" t="s">
        <v>243</v>
      </c>
      <c r="E113" s="24">
        <v>100</v>
      </c>
      <c r="G113" s="3"/>
    </row>
    <row r="114" spans="2:7" customFormat="1" ht="14.25" x14ac:dyDescent="0.2">
      <c r="B114" s="26" t="s">
        <v>244</v>
      </c>
      <c r="E114" s="24">
        <v>150</v>
      </c>
      <c r="G114" s="3"/>
    </row>
    <row r="115" spans="2:7" customFormat="1" ht="14.25" x14ac:dyDescent="0.2">
      <c r="B115" s="26" t="s">
        <v>245</v>
      </c>
      <c r="E115" s="24">
        <v>200</v>
      </c>
      <c r="G115" s="3"/>
    </row>
    <row r="116" spans="2:7" customFormat="1" ht="14.25" x14ac:dyDescent="0.2">
      <c r="B116" s="26" t="s">
        <v>246</v>
      </c>
      <c r="E116" s="24">
        <v>500</v>
      </c>
      <c r="G116" s="3"/>
    </row>
    <row r="117" spans="2:7" customFormat="1" ht="14.25" x14ac:dyDescent="0.2">
      <c r="B117" s="26" t="s">
        <v>247</v>
      </c>
      <c r="E117" s="24">
        <v>1000</v>
      </c>
      <c r="G117" s="3"/>
    </row>
    <row r="118" spans="2:7" customFormat="1" ht="14.25" x14ac:dyDescent="0.2">
      <c r="B118" s="26" t="s">
        <v>248</v>
      </c>
      <c r="E118" s="24">
        <v>1500</v>
      </c>
      <c r="G118" s="3"/>
    </row>
    <row r="119" spans="2:7" customFormat="1" ht="14.25" x14ac:dyDescent="0.2">
      <c r="B119" s="26" t="s">
        <v>249</v>
      </c>
      <c r="E119" s="24">
        <v>2000</v>
      </c>
      <c r="G119" s="3"/>
    </row>
    <row r="120" spans="2:7" customFormat="1" ht="14.25" x14ac:dyDescent="0.2">
      <c r="B120" s="26" t="s">
        <v>250</v>
      </c>
      <c r="E120" s="24">
        <v>200</v>
      </c>
      <c r="G120" s="3"/>
    </row>
    <row r="121" spans="2:7" customFormat="1" ht="14.25" x14ac:dyDescent="0.2">
      <c r="B121" s="26" t="s">
        <v>251</v>
      </c>
      <c r="E121" s="24">
        <v>300</v>
      </c>
      <c r="G121" s="3"/>
    </row>
    <row r="122" spans="2:7" customFormat="1" ht="14.25" x14ac:dyDescent="0.2">
      <c r="B122" s="26" t="s">
        <v>252</v>
      </c>
      <c r="E122" s="24">
        <v>500</v>
      </c>
      <c r="G122" s="3"/>
    </row>
    <row r="123" spans="2:7" customFormat="1" ht="14.25" x14ac:dyDescent="0.2">
      <c r="B123" s="26" t="s">
        <v>253</v>
      </c>
      <c r="E123" s="24">
        <v>750</v>
      </c>
      <c r="G123" s="3"/>
    </row>
    <row r="124" spans="2:7" customFormat="1" ht="14.25" x14ac:dyDescent="0.2">
      <c r="B124" s="26" t="s">
        <v>254</v>
      </c>
      <c r="E124" s="24">
        <v>1000</v>
      </c>
      <c r="G124" s="3"/>
    </row>
    <row r="125" spans="2:7" customFormat="1" ht="14.25" x14ac:dyDescent="0.2">
      <c r="B125" s="26" t="s">
        <v>255</v>
      </c>
      <c r="E125" s="24">
        <v>1250</v>
      </c>
      <c r="G125" s="3"/>
    </row>
    <row r="126" spans="2:7" customFormat="1" ht="14.25" x14ac:dyDescent="0.2">
      <c r="B126" s="26" t="s">
        <v>256</v>
      </c>
      <c r="E126" s="24">
        <v>1500</v>
      </c>
      <c r="G126" s="3"/>
    </row>
    <row r="127" spans="2:7" customFormat="1" ht="14.25" x14ac:dyDescent="0.2">
      <c r="B127" s="26" t="s">
        <v>257</v>
      </c>
      <c r="E127" s="24">
        <v>1800</v>
      </c>
      <c r="G127" s="3"/>
    </row>
    <row r="128" spans="2:7" customFormat="1" ht="14.25" x14ac:dyDescent="0.2">
      <c r="B128" s="26" t="s">
        <v>258</v>
      </c>
      <c r="E128" s="24">
        <v>2000</v>
      </c>
      <c r="G128" s="3"/>
    </row>
    <row r="129" spans="2:7" s="21" customFormat="1" ht="14.25" x14ac:dyDescent="0.2">
      <c r="B129" s="26" t="s">
        <v>259</v>
      </c>
      <c r="E129" s="24">
        <v>500</v>
      </c>
    </row>
    <row r="130" spans="2:7" s="21" customFormat="1" ht="14.25" x14ac:dyDescent="0.2">
      <c r="B130" s="26" t="s">
        <v>260</v>
      </c>
      <c r="E130" s="24">
        <v>750</v>
      </c>
    </row>
    <row r="131" spans="2:7" s="21" customFormat="1" ht="14.25" x14ac:dyDescent="0.2">
      <c r="B131" s="26" t="s">
        <v>261</v>
      </c>
      <c r="E131" s="24">
        <v>1000</v>
      </c>
    </row>
    <row r="132" spans="2:7" s="21" customFormat="1" ht="14.25" x14ac:dyDescent="0.2">
      <c r="B132" s="26" t="s">
        <v>262</v>
      </c>
      <c r="E132" s="24">
        <v>1200</v>
      </c>
    </row>
    <row r="133" spans="2:7" s="21" customFormat="1" ht="14.25" x14ac:dyDescent="0.2">
      <c r="B133" s="26" t="s">
        <v>263</v>
      </c>
      <c r="E133" s="24">
        <v>1500</v>
      </c>
    </row>
    <row r="134" spans="2:7" s="21" customFormat="1" ht="14.25" x14ac:dyDescent="0.2">
      <c r="B134" s="26" t="s">
        <v>264</v>
      </c>
      <c r="E134" s="24">
        <v>2000</v>
      </c>
    </row>
    <row r="135" spans="2:7" s="21" customFormat="1" ht="14.25" x14ac:dyDescent="0.2">
      <c r="B135" s="26" t="s">
        <v>265</v>
      </c>
      <c r="E135" s="24">
        <v>2500</v>
      </c>
    </row>
    <row r="136" spans="2:7" s="21" customFormat="1" ht="14.25" x14ac:dyDescent="0.2">
      <c r="B136" s="26" t="s">
        <v>266</v>
      </c>
      <c r="E136" s="24">
        <v>3000</v>
      </c>
    </row>
    <row r="137" spans="2:7" customFormat="1" ht="14.25" x14ac:dyDescent="0.2">
      <c r="B137" s="26" t="s">
        <v>267</v>
      </c>
      <c r="E137" s="24">
        <v>350</v>
      </c>
      <c r="G137" s="3"/>
    </row>
    <row r="138" spans="2:7" customFormat="1" ht="14.25" x14ac:dyDescent="0.2">
      <c r="B138" s="26" t="s">
        <v>268</v>
      </c>
      <c r="E138" s="24">
        <v>400</v>
      </c>
      <c r="G138" s="3"/>
    </row>
    <row r="139" spans="2:7" customFormat="1" ht="14.25" x14ac:dyDescent="0.2">
      <c r="B139" s="26" t="s">
        <v>269</v>
      </c>
      <c r="E139" s="24">
        <v>500</v>
      </c>
      <c r="G139" s="3"/>
    </row>
    <row r="140" spans="2:7" customFormat="1" ht="14.25" x14ac:dyDescent="0.2">
      <c r="B140" s="26" t="s">
        <v>270</v>
      </c>
      <c r="E140" s="24">
        <v>750</v>
      </c>
      <c r="G140" s="3"/>
    </row>
    <row r="141" spans="2:7" customFormat="1" ht="14.25" x14ac:dyDescent="0.2">
      <c r="B141" s="26" t="s">
        <v>271</v>
      </c>
      <c r="E141" s="24">
        <v>1000</v>
      </c>
      <c r="G141" s="3"/>
    </row>
    <row r="142" spans="2:7" customFormat="1" ht="14.25" x14ac:dyDescent="0.2">
      <c r="B142" s="26" t="s">
        <v>272</v>
      </c>
      <c r="E142" s="24">
        <v>300</v>
      </c>
      <c r="G142" s="3"/>
    </row>
    <row r="143" spans="2:7" customFormat="1" ht="14.25" x14ac:dyDescent="0.2">
      <c r="B143" s="26" t="s">
        <v>273</v>
      </c>
      <c r="E143" s="24">
        <v>100</v>
      </c>
      <c r="G143" s="3"/>
    </row>
    <row r="144" spans="2:7" customFormat="1" ht="14.25" x14ac:dyDescent="0.2">
      <c r="B144" s="26" t="s">
        <v>274</v>
      </c>
      <c r="E144" s="24">
        <v>80</v>
      </c>
      <c r="G144" s="3"/>
    </row>
    <row r="145" spans="2:7" customFormat="1" ht="14.25" x14ac:dyDescent="0.2">
      <c r="B145" s="26" t="s">
        <v>275</v>
      </c>
      <c r="E145" s="24">
        <v>300</v>
      </c>
      <c r="G145" s="3"/>
    </row>
    <row r="146" spans="2:7" customFormat="1" ht="14.25" x14ac:dyDescent="0.2">
      <c r="B146" s="26" t="s">
        <v>276</v>
      </c>
      <c r="E146" s="24">
        <v>1000</v>
      </c>
      <c r="G146" s="3"/>
    </row>
    <row r="147" spans="2:7" customFormat="1" ht="14.25" x14ac:dyDescent="0.2">
      <c r="B147" s="33" t="s">
        <v>9</v>
      </c>
      <c r="E147" s="24"/>
    </row>
    <row r="148" spans="2:7" customFormat="1" ht="14.25" x14ac:dyDescent="0.2">
      <c r="B148" s="26" t="s">
        <v>277</v>
      </c>
      <c r="E148" s="24">
        <v>100</v>
      </c>
      <c r="G148" s="3"/>
    </row>
    <row r="149" spans="2:7" customFormat="1" ht="14.25" x14ac:dyDescent="0.2">
      <c r="B149" s="26" t="s">
        <v>278</v>
      </c>
      <c r="E149" s="24">
        <v>200</v>
      </c>
      <c r="G149" s="3"/>
    </row>
    <row r="150" spans="2:7" customFormat="1" ht="14.25" x14ac:dyDescent="0.2">
      <c r="B150" s="33" t="s">
        <v>140</v>
      </c>
      <c r="E150" s="24"/>
    </row>
    <row r="151" spans="2:7" customFormat="1" ht="14.25" x14ac:dyDescent="0.2">
      <c r="B151" s="26" t="s">
        <v>279</v>
      </c>
      <c r="E151" s="24">
        <v>100</v>
      </c>
    </row>
    <row r="152" spans="2:7" customFormat="1" ht="14.25" x14ac:dyDescent="0.2">
      <c r="B152" s="26" t="s">
        <v>280</v>
      </c>
      <c r="E152" s="24">
        <v>200</v>
      </c>
    </row>
    <row r="153" spans="2:7" customFormat="1" ht="14.25" x14ac:dyDescent="0.2">
      <c r="B153" s="33" t="s">
        <v>10</v>
      </c>
      <c r="E153" s="36"/>
    </row>
    <row r="154" spans="2:7" customFormat="1" ht="14.25" x14ac:dyDescent="0.2">
      <c r="B154" s="28" t="s">
        <v>11</v>
      </c>
      <c r="E154" s="36"/>
    </row>
    <row r="155" spans="2:7" customFormat="1" ht="14.25" x14ac:dyDescent="0.2">
      <c r="B155" s="26" t="s">
        <v>281</v>
      </c>
      <c r="E155" s="24">
        <v>500</v>
      </c>
      <c r="G155" s="3"/>
    </row>
    <row r="156" spans="2:7" customFormat="1" ht="14.25" x14ac:dyDescent="0.2">
      <c r="B156" s="26" t="s">
        <v>282</v>
      </c>
      <c r="E156" s="24">
        <v>600</v>
      </c>
      <c r="G156" s="3"/>
    </row>
    <row r="157" spans="2:7" customFormat="1" ht="14.25" x14ac:dyDescent="0.2">
      <c r="B157" s="26" t="s">
        <v>283</v>
      </c>
      <c r="E157" s="24">
        <v>700</v>
      </c>
      <c r="G157" s="3"/>
    </row>
    <row r="158" spans="2:7" customFormat="1" ht="14.25" x14ac:dyDescent="0.2">
      <c r="B158" s="26" t="s">
        <v>284</v>
      </c>
      <c r="E158" s="24">
        <v>800</v>
      </c>
      <c r="G158" s="3"/>
    </row>
    <row r="159" spans="2:7" customFormat="1" ht="14.25" x14ac:dyDescent="0.2">
      <c r="B159" s="29" t="s">
        <v>12</v>
      </c>
      <c r="E159" s="24"/>
    </row>
    <row r="160" spans="2:7" customFormat="1" ht="14.25" x14ac:dyDescent="0.2">
      <c r="B160" s="29" t="s">
        <v>13</v>
      </c>
      <c r="E160" s="24"/>
    </row>
    <row r="161" spans="2:7" customFormat="1" ht="14.25" x14ac:dyDescent="0.2">
      <c r="B161" s="28" t="s">
        <v>14</v>
      </c>
      <c r="E161" s="24"/>
    </row>
    <row r="162" spans="2:7" customFormat="1" ht="14.25" x14ac:dyDescent="0.2">
      <c r="B162" s="26" t="s">
        <v>285</v>
      </c>
      <c r="E162" s="24">
        <v>150</v>
      </c>
      <c r="G162" s="3"/>
    </row>
    <row r="163" spans="2:7" customFormat="1" ht="14.25" x14ac:dyDescent="0.2">
      <c r="B163" s="26" t="s">
        <v>286</v>
      </c>
      <c r="E163" s="24">
        <v>300</v>
      </c>
      <c r="G163" s="3"/>
    </row>
    <row r="164" spans="2:7" customFormat="1" ht="14.25" x14ac:dyDescent="0.2">
      <c r="B164" s="26" t="s">
        <v>287</v>
      </c>
      <c r="E164" s="24">
        <v>500</v>
      </c>
      <c r="G164" s="3"/>
    </row>
    <row r="165" spans="2:7" customFormat="1" ht="14.25" x14ac:dyDescent="0.2">
      <c r="B165" s="26" t="s">
        <v>288</v>
      </c>
      <c r="E165" s="24">
        <v>700</v>
      </c>
      <c r="G165" s="3"/>
    </row>
    <row r="166" spans="2:7" customFormat="1" ht="14.25" x14ac:dyDescent="0.2">
      <c r="B166" s="26" t="s">
        <v>289</v>
      </c>
      <c r="E166" s="24">
        <v>800</v>
      </c>
      <c r="G166" s="3"/>
    </row>
    <row r="167" spans="2:7" customFormat="1" ht="14.25" x14ac:dyDescent="0.2">
      <c r="B167" s="26" t="s">
        <v>290</v>
      </c>
      <c r="E167" s="24">
        <v>1000</v>
      </c>
      <c r="G167" s="3"/>
    </row>
    <row r="168" spans="2:7" customFormat="1" ht="14.25" x14ac:dyDescent="0.2">
      <c r="B168" s="29" t="s">
        <v>15</v>
      </c>
      <c r="E168" s="24"/>
    </row>
    <row r="169" spans="2:7" customFormat="1" ht="14.25" x14ac:dyDescent="0.2">
      <c r="B169" s="28" t="s">
        <v>16</v>
      </c>
      <c r="E169" s="24"/>
    </row>
    <row r="170" spans="2:7" customFormat="1" ht="14.25" x14ac:dyDescent="0.2">
      <c r="B170" s="26" t="s">
        <v>291</v>
      </c>
      <c r="E170" s="24">
        <v>100</v>
      </c>
      <c r="G170" s="3"/>
    </row>
    <row r="171" spans="2:7" customFormat="1" ht="14.25" x14ac:dyDescent="0.2">
      <c r="B171" s="26" t="s">
        <v>292</v>
      </c>
      <c r="E171" s="24">
        <v>200</v>
      </c>
      <c r="G171" s="3"/>
    </row>
    <row r="172" spans="2:7" customFormat="1" ht="14.25" x14ac:dyDescent="0.2">
      <c r="B172" s="26" t="s">
        <v>293</v>
      </c>
      <c r="E172" s="24">
        <v>250</v>
      </c>
      <c r="G172" s="3"/>
    </row>
    <row r="173" spans="2:7" customFormat="1" ht="14.25" x14ac:dyDescent="0.2">
      <c r="B173" s="26" t="s">
        <v>294</v>
      </c>
      <c r="E173" s="24">
        <v>300</v>
      </c>
      <c r="G173" s="3"/>
    </row>
    <row r="174" spans="2:7" customFormat="1" ht="14.25" x14ac:dyDescent="0.2">
      <c r="B174" s="26" t="s">
        <v>295</v>
      </c>
      <c r="E174" s="24">
        <v>400</v>
      </c>
      <c r="G174" s="3"/>
    </row>
    <row r="175" spans="2:7" customFormat="1" ht="14.25" x14ac:dyDescent="0.2">
      <c r="B175" s="26" t="s">
        <v>296</v>
      </c>
      <c r="E175" s="24">
        <v>500</v>
      </c>
      <c r="G175" s="3"/>
    </row>
    <row r="176" spans="2:7" customFormat="1" ht="14.25" x14ac:dyDescent="0.2">
      <c r="B176" s="26" t="s">
        <v>297</v>
      </c>
      <c r="E176" s="24">
        <v>500</v>
      </c>
      <c r="G176" s="3"/>
    </row>
    <row r="177" spans="2:7" s="21" customFormat="1" ht="14.25" x14ac:dyDescent="0.2">
      <c r="B177" s="30" t="s">
        <v>141</v>
      </c>
      <c r="E177" s="24"/>
      <c r="G177"/>
    </row>
    <row r="178" spans="2:7" customFormat="1" ht="14.25" x14ac:dyDescent="0.2">
      <c r="B178" s="31" t="s">
        <v>17</v>
      </c>
      <c r="E178" s="24"/>
    </row>
    <row r="179" spans="2:7" customFormat="1" ht="14.25" x14ac:dyDescent="0.2">
      <c r="B179" s="26" t="s">
        <v>298</v>
      </c>
      <c r="E179" s="24">
        <v>4000</v>
      </c>
      <c r="G179" s="3"/>
    </row>
    <row r="180" spans="2:7" customFormat="1" ht="14.25" x14ac:dyDescent="0.2">
      <c r="B180" s="26" t="s">
        <v>299</v>
      </c>
      <c r="E180" s="24">
        <v>5000</v>
      </c>
      <c r="G180" s="3"/>
    </row>
    <row r="181" spans="2:7" customFormat="1" ht="14.25" x14ac:dyDescent="0.2">
      <c r="B181" s="26" t="s">
        <v>300</v>
      </c>
      <c r="E181" s="24">
        <v>6000</v>
      </c>
      <c r="G181" s="3"/>
    </row>
    <row r="182" spans="2:7" customFormat="1" ht="14.25" x14ac:dyDescent="0.2">
      <c r="B182" s="26" t="s">
        <v>301</v>
      </c>
      <c r="E182" s="24">
        <v>7000</v>
      </c>
      <c r="G182" s="3"/>
    </row>
    <row r="183" spans="2:7" customFormat="1" ht="14.25" x14ac:dyDescent="0.2">
      <c r="B183" s="26" t="s">
        <v>302</v>
      </c>
      <c r="E183" s="24">
        <v>8000</v>
      </c>
      <c r="G183" s="3"/>
    </row>
    <row r="184" spans="2:7" customFormat="1" ht="14.25" x14ac:dyDescent="0.2">
      <c r="B184" s="26" t="s">
        <v>303</v>
      </c>
      <c r="E184" s="24">
        <v>9000</v>
      </c>
      <c r="G184" s="3"/>
    </row>
    <row r="185" spans="2:7" customFormat="1" ht="14.25" x14ac:dyDescent="0.2">
      <c r="B185" s="26" t="s">
        <v>304</v>
      </c>
      <c r="E185" s="24">
        <v>10000</v>
      </c>
      <c r="G185" s="3"/>
    </row>
    <row r="186" spans="2:7" customFormat="1" ht="14.25" x14ac:dyDescent="0.2">
      <c r="B186" s="26" t="s">
        <v>305</v>
      </c>
      <c r="E186" s="24">
        <v>2000</v>
      </c>
      <c r="G186" s="3"/>
    </row>
    <row r="187" spans="2:7" customFormat="1" ht="14.25" x14ac:dyDescent="0.2">
      <c r="B187" s="26" t="s">
        <v>306</v>
      </c>
      <c r="E187" s="24">
        <v>2500</v>
      </c>
      <c r="G187" s="3"/>
    </row>
    <row r="188" spans="2:7" customFormat="1" ht="14.25" x14ac:dyDescent="0.2">
      <c r="B188" s="26" t="s">
        <v>307</v>
      </c>
      <c r="E188" s="24">
        <v>3000</v>
      </c>
      <c r="G188" s="3"/>
    </row>
    <row r="189" spans="2:7" customFormat="1" ht="14.25" x14ac:dyDescent="0.2">
      <c r="B189" s="26" t="s">
        <v>308</v>
      </c>
      <c r="E189" s="24">
        <v>3500</v>
      </c>
      <c r="G189" s="3"/>
    </row>
    <row r="190" spans="2:7" customFormat="1" ht="14.25" x14ac:dyDescent="0.2">
      <c r="B190" s="26" t="s">
        <v>309</v>
      </c>
      <c r="E190" s="24">
        <v>4000</v>
      </c>
      <c r="G190" s="3"/>
    </row>
    <row r="191" spans="2:7" customFormat="1" ht="14.25" x14ac:dyDescent="0.2">
      <c r="B191" s="26" t="s">
        <v>310</v>
      </c>
      <c r="E191" s="24">
        <v>4500</v>
      </c>
      <c r="G191" s="3"/>
    </row>
    <row r="192" spans="2:7" customFormat="1" ht="14.25" x14ac:dyDescent="0.2">
      <c r="B192" s="26" t="s">
        <v>311</v>
      </c>
      <c r="E192" s="24">
        <v>5000</v>
      </c>
      <c r="G192" s="3"/>
    </row>
    <row r="193" spans="2:7" customFormat="1" ht="14.25" x14ac:dyDescent="0.2">
      <c r="B193" s="26" t="s">
        <v>312</v>
      </c>
      <c r="E193" s="24">
        <v>2000</v>
      </c>
      <c r="G193" s="3"/>
    </row>
    <row r="194" spans="2:7" customFormat="1" ht="14.25" x14ac:dyDescent="0.2">
      <c r="B194" s="26" t="s">
        <v>313</v>
      </c>
      <c r="E194" s="24">
        <v>3000</v>
      </c>
      <c r="G194" s="3"/>
    </row>
    <row r="195" spans="2:7" customFormat="1" ht="14.25" x14ac:dyDescent="0.2">
      <c r="B195" s="26" t="s">
        <v>314</v>
      </c>
      <c r="E195" s="24">
        <v>4000</v>
      </c>
      <c r="G195" s="3"/>
    </row>
    <row r="196" spans="2:7" customFormat="1" ht="14.25" x14ac:dyDescent="0.2">
      <c r="B196" s="26" t="s">
        <v>315</v>
      </c>
      <c r="E196" s="24">
        <v>5000</v>
      </c>
      <c r="G196" s="3"/>
    </row>
    <row r="197" spans="2:7" customFormat="1" ht="14.25" x14ac:dyDescent="0.2">
      <c r="B197" s="26" t="s">
        <v>316</v>
      </c>
      <c r="E197" s="24">
        <v>3000</v>
      </c>
      <c r="G197" s="3"/>
    </row>
    <row r="198" spans="2:7" customFormat="1" ht="14.25" x14ac:dyDescent="0.2">
      <c r="B198" s="26" t="s">
        <v>317</v>
      </c>
      <c r="E198" s="24">
        <v>4000</v>
      </c>
      <c r="G198" s="3"/>
    </row>
    <row r="199" spans="2:7" customFormat="1" ht="14.25" x14ac:dyDescent="0.2">
      <c r="B199" s="26" t="s">
        <v>318</v>
      </c>
      <c r="E199" s="24">
        <v>5000</v>
      </c>
      <c r="G199" s="3"/>
    </row>
    <row r="200" spans="2:7" customFormat="1" ht="14.25" x14ac:dyDescent="0.2">
      <c r="B200" s="26" t="s">
        <v>319</v>
      </c>
      <c r="E200" s="24">
        <v>6000</v>
      </c>
      <c r="G200" s="3"/>
    </row>
    <row r="201" spans="2:7" customFormat="1" ht="14.25" x14ac:dyDescent="0.2">
      <c r="B201" s="26" t="s">
        <v>320</v>
      </c>
      <c r="E201" s="24">
        <v>7000</v>
      </c>
      <c r="G201" s="3"/>
    </row>
    <row r="202" spans="2:7" customFormat="1" ht="14.25" x14ac:dyDescent="0.2">
      <c r="B202" s="26" t="s">
        <v>321</v>
      </c>
      <c r="E202" s="24">
        <v>8000</v>
      </c>
      <c r="G202" s="3"/>
    </row>
    <row r="203" spans="2:7" customFormat="1" ht="14.25" x14ac:dyDescent="0.2">
      <c r="B203" s="26" t="s">
        <v>322</v>
      </c>
      <c r="E203" s="24">
        <v>10000</v>
      </c>
      <c r="G203" s="3"/>
    </row>
    <row r="204" spans="2:7" customFormat="1" ht="14.25" x14ac:dyDescent="0.2">
      <c r="B204" s="26" t="s">
        <v>323</v>
      </c>
      <c r="E204" s="24">
        <v>12000</v>
      </c>
      <c r="G204" s="3"/>
    </row>
    <row r="205" spans="2:7" customFormat="1" ht="14.25" x14ac:dyDescent="0.2">
      <c r="B205" s="26" t="s">
        <v>324</v>
      </c>
      <c r="E205" s="24">
        <v>15000</v>
      </c>
      <c r="G205" s="3"/>
    </row>
    <row r="206" spans="2:7" customFormat="1" ht="14.25" x14ac:dyDescent="0.2">
      <c r="B206" s="26" t="s">
        <v>325</v>
      </c>
      <c r="E206" s="24">
        <v>3000</v>
      </c>
      <c r="G206" s="3"/>
    </row>
    <row r="207" spans="2:7" customFormat="1" ht="14.25" x14ac:dyDescent="0.2">
      <c r="B207" s="26" t="s">
        <v>326</v>
      </c>
      <c r="E207" s="24">
        <v>4000</v>
      </c>
      <c r="G207" s="3"/>
    </row>
    <row r="208" spans="2:7" customFormat="1" ht="14.25" x14ac:dyDescent="0.2">
      <c r="B208" s="26" t="s">
        <v>327</v>
      </c>
      <c r="E208" s="24">
        <v>5000</v>
      </c>
      <c r="G208" s="3"/>
    </row>
    <row r="209" spans="2:7" customFormat="1" ht="14.25" x14ac:dyDescent="0.2">
      <c r="B209" s="26" t="s">
        <v>328</v>
      </c>
      <c r="E209" s="24">
        <v>6000</v>
      </c>
      <c r="G209" s="3"/>
    </row>
    <row r="210" spans="2:7" customFormat="1" ht="14.25" x14ac:dyDescent="0.2">
      <c r="B210" s="26" t="s">
        <v>329</v>
      </c>
      <c r="E210" s="24">
        <v>4500</v>
      </c>
      <c r="G210" s="3"/>
    </row>
    <row r="211" spans="2:7" customFormat="1" ht="14.25" x14ac:dyDescent="0.2">
      <c r="B211" s="26" t="s">
        <v>330</v>
      </c>
      <c r="E211" s="24">
        <v>3000</v>
      </c>
      <c r="G211" s="3"/>
    </row>
    <row r="212" spans="2:7" customFormat="1" ht="14.25" x14ac:dyDescent="0.2">
      <c r="B212" s="26" t="s">
        <v>331</v>
      </c>
      <c r="E212" s="24">
        <v>4000</v>
      </c>
      <c r="G212" s="3"/>
    </row>
    <row r="213" spans="2:7" customFormat="1" ht="14.25" x14ac:dyDescent="0.2">
      <c r="B213" s="26" t="s">
        <v>332</v>
      </c>
      <c r="E213" s="24">
        <v>5000</v>
      </c>
      <c r="G213" s="3"/>
    </row>
    <row r="214" spans="2:7" customFormat="1" ht="14.25" x14ac:dyDescent="0.2">
      <c r="B214" s="26" t="s">
        <v>333</v>
      </c>
      <c r="E214" s="24">
        <v>4000</v>
      </c>
      <c r="G214" s="3"/>
    </row>
    <row r="215" spans="2:7" customFormat="1" ht="14.25" x14ac:dyDescent="0.2">
      <c r="B215" s="26" t="s">
        <v>334</v>
      </c>
      <c r="E215" s="24">
        <v>5000</v>
      </c>
      <c r="G215" s="3"/>
    </row>
    <row r="216" spans="2:7" customFormat="1" ht="14.25" x14ac:dyDescent="0.2">
      <c r="B216" s="26" t="s">
        <v>335</v>
      </c>
      <c r="E216" s="24">
        <v>6000</v>
      </c>
      <c r="G216" s="3"/>
    </row>
    <row r="217" spans="2:7" customFormat="1" ht="14.25" x14ac:dyDescent="0.2">
      <c r="B217" s="26" t="s">
        <v>336</v>
      </c>
      <c r="E217" s="24">
        <v>5000</v>
      </c>
      <c r="G217" s="3"/>
    </row>
    <row r="218" spans="2:7" customFormat="1" ht="14.25" x14ac:dyDescent="0.2">
      <c r="B218" s="26" t="s">
        <v>337</v>
      </c>
      <c r="E218" s="24">
        <v>6000</v>
      </c>
      <c r="G218" s="3"/>
    </row>
    <row r="219" spans="2:7" customFormat="1" ht="14.25" x14ac:dyDescent="0.2">
      <c r="B219" s="26" t="s">
        <v>338</v>
      </c>
      <c r="E219" s="24">
        <v>8000</v>
      </c>
      <c r="G219" s="3"/>
    </row>
    <row r="220" spans="2:7" customFormat="1" ht="14.25" x14ac:dyDescent="0.2">
      <c r="B220" s="26" t="s">
        <v>339</v>
      </c>
      <c r="E220" s="24">
        <v>10000</v>
      </c>
      <c r="G220" s="3"/>
    </row>
    <row r="221" spans="2:7" customFormat="1" ht="14.25" x14ac:dyDescent="0.2">
      <c r="B221" s="26" t="s">
        <v>340</v>
      </c>
      <c r="E221" s="24">
        <v>4000</v>
      </c>
      <c r="G221" s="3"/>
    </row>
    <row r="222" spans="2:7" customFormat="1" ht="14.25" x14ac:dyDescent="0.2">
      <c r="B222" s="26" t="s">
        <v>341</v>
      </c>
      <c r="E222" s="24">
        <v>5000</v>
      </c>
      <c r="G222" s="3"/>
    </row>
    <row r="223" spans="2:7" customFormat="1" ht="14.25" x14ac:dyDescent="0.2">
      <c r="B223" s="26" t="s">
        <v>342</v>
      </c>
      <c r="E223" s="24">
        <v>6000</v>
      </c>
      <c r="G223" s="3"/>
    </row>
    <row r="224" spans="2:7" customFormat="1" ht="14.25" x14ac:dyDescent="0.2">
      <c r="B224" s="26" t="s">
        <v>343</v>
      </c>
      <c r="E224" s="24">
        <v>7000</v>
      </c>
      <c r="G224" s="3"/>
    </row>
    <row r="225" spans="2:7" customFormat="1" ht="14.25" x14ac:dyDescent="0.2">
      <c r="B225" s="26" t="s">
        <v>344</v>
      </c>
      <c r="E225" s="24">
        <v>8000</v>
      </c>
      <c r="G225" s="3"/>
    </row>
    <row r="226" spans="2:7" customFormat="1" ht="14.25" x14ac:dyDescent="0.2">
      <c r="B226" s="26" t="s">
        <v>345</v>
      </c>
      <c r="E226" s="24">
        <v>5000</v>
      </c>
      <c r="G226" s="3"/>
    </row>
    <row r="227" spans="2:7" customFormat="1" ht="14.25" x14ac:dyDescent="0.2">
      <c r="B227" s="26" t="s">
        <v>346</v>
      </c>
      <c r="E227" s="24">
        <v>6000</v>
      </c>
      <c r="G227" s="3"/>
    </row>
    <row r="228" spans="2:7" customFormat="1" ht="14.25" x14ac:dyDescent="0.2">
      <c r="B228" s="26" t="s">
        <v>347</v>
      </c>
      <c r="E228" s="24">
        <v>7000</v>
      </c>
      <c r="G228" s="3"/>
    </row>
    <row r="229" spans="2:7" customFormat="1" ht="14.25" x14ac:dyDescent="0.2">
      <c r="B229" s="26" t="s">
        <v>348</v>
      </c>
      <c r="E229" s="24">
        <v>8000</v>
      </c>
      <c r="G229" s="3"/>
    </row>
    <row r="230" spans="2:7" customFormat="1" ht="14.25" x14ac:dyDescent="0.2">
      <c r="B230" s="26" t="s">
        <v>349</v>
      </c>
      <c r="E230" s="24">
        <v>9000</v>
      </c>
      <c r="G230" s="3"/>
    </row>
    <row r="231" spans="2:7" customFormat="1" ht="14.25" x14ac:dyDescent="0.2">
      <c r="B231" s="26" t="s">
        <v>350</v>
      </c>
      <c r="E231" s="24">
        <v>10000</v>
      </c>
      <c r="G231" s="3"/>
    </row>
    <row r="232" spans="2:7" customFormat="1" ht="14.25" x14ac:dyDescent="0.2">
      <c r="B232" s="26" t="s">
        <v>351</v>
      </c>
      <c r="E232" s="24">
        <v>400</v>
      </c>
      <c r="G232" s="3"/>
    </row>
    <row r="233" spans="2:7" customFormat="1" ht="14.25" x14ac:dyDescent="0.2">
      <c r="B233" s="26" t="s">
        <v>352</v>
      </c>
      <c r="E233" s="24">
        <v>4500</v>
      </c>
      <c r="G233" s="3"/>
    </row>
    <row r="234" spans="2:7" customFormat="1" ht="14.25" x14ac:dyDescent="0.2">
      <c r="B234" s="26" t="s">
        <v>353</v>
      </c>
      <c r="E234" s="24">
        <v>5000</v>
      </c>
      <c r="G234" s="3"/>
    </row>
    <row r="235" spans="2:7" customFormat="1" ht="14.25" x14ac:dyDescent="0.2">
      <c r="B235" s="26" t="s">
        <v>354</v>
      </c>
      <c r="E235" s="24">
        <v>4500</v>
      </c>
      <c r="G235" s="3"/>
    </row>
    <row r="236" spans="2:7" customFormat="1" ht="14.25" x14ac:dyDescent="0.2">
      <c r="B236" s="26" t="s">
        <v>355</v>
      </c>
      <c r="E236" s="24">
        <v>5000</v>
      </c>
      <c r="G236" s="3"/>
    </row>
    <row r="237" spans="2:7" customFormat="1" ht="14.25" x14ac:dyDescent="0.2">
      <c r="B237" s="26" t="s">
        <v>356</v>
      </c>
      <c r="E237" s="24">
        <v>6000</v>
      </c>
      <c r="G237" s="3"/>
    </row>
    <row r="238" spans="2:7" customFormat="1" ht="14.25" x14ac:dyDescent="0.2">
      <c r="B238" s="26" t="s">
        <v>357</v>
      </c>
      <c r="E238" s="24">
        <v>5000</v>
      </c>
      <c r="G238" s="3"/>
    </row>
    <row r="239" spans="2:7" customFormat="1" ht="14.25" x14ac:dyDescent="0.2">
      <c r="B239" s="26" t="s">
        <v>358</v>
      </c>
      <c r="E239" s="24">
        <v>6000</v>
      </c>
      <c r="G239" s="3"/>
    </row>
    <row r="240" spans="2:7" customFormat="1" ht="14.25" x14ac:dyDescent="0.2">
      <c r="B240" s="26" t="s">
        <v>359</v>
      </c>
      <c r="E240" s="24">
        <v>7000</v>
      </c>
      <c r="G240" s="3"/>
    </row>
    <row r="241" spans="2:7" customFormat="1" ht="14.25" x14ac:dyDescent="0.2">
      <c r="B241" s="26" t="s">
        <v>360</v>
      </c>
      <c r="E241" s="24">
        <v>5500</v>
      </c>
      <c r="G241" s="3"/>
    </row>
    <row r="242" spans="2:7" customFormat="1" ht="14.25" x14ac:dyDescent="0.2">
      <c r="B242" s="26" t="s">
        <v>361</v>
      </c>
      <c r="E242" s="24">
        <v>6000</v>
      </c>
      <c r="G242" s="3"/>
    </row>
    <row r="243" spans="2:7" customFormat="1" ht="14.25" x14ac:dyDescent="0.2">
      <c r="B243" s="26" t="s">
        <v>362</v>
      </c>
      <c r="E243" s="24">
        <v>7000</v>
      </c>
      <c r="G243" s="3"/>
    </row>
    <row r="244" spans="2:7" customFormat="1" ht="14.25" x14ac:dyDescent="0.2">
      <c r="B244" s="26" t="s">
        <v>363</v>
      </c>
      <c r="E244" s="24">
        <v>8000</v>
      </c>
      <c r="G244" s="3"/>
    </row>
    <row r="245" spans="2:7" customFormat="1" ht="14.25" x14ac:dyDescent="0.2">
      <c r="B245" s="26" t="s">
        <v>364</v>
      </c>
      <c r="E245" s="24">
        <v>6000</v>
      </c>
      <c r="G245" s="3"/>
    </row>
    <row r="246" spans="2:7" customFormat="1" ht="14.25" x14ac:dyDescent="0.2">
      <c r="B246" s="26" t="s">
        <v>365</v>
      </c>
      <c r="E246" s="24">
        <v>7000</v>
      </c>
      <c r="G246" s="3"/>
    </row>
    <row r="247" spans="2:7" customFormat="1" ht="14.25" x14ac:dyDescent="0.2">
      <c r="B247" s="26" t="s">
        <v>366</v>
      </c>
      <c r="E247" s="24">
        <v>8000</v>
      </c>
      <c r="G247" s="3"/>
    </row>
    <row r="248" spans="2:7" customFormat="1" ht="14.25" x14ac:dyDescent="0.2">
      <c r="B248" s="26" t="s">
        <v>367</v>
      </c>
      <c r="E248" s="24">
        <v>9000</v>
      </c>
      <c r="G248" s="3"/>
    </row>
    <row r="249" spans="2:7" customFormat="1" ht="14.25" x14ac:dyDescent="0.2">
      <c r="B249" s="26" t="s">
        <v>368</v>
      </c>
      <c r="E249" s="24">
        <v>10000</v>
      </c>
      <c r="G249" s="3"/>
    </row>
    <row r="250" spans="2:7" customFormat="1" ht="14.25" x14ac:dyDescent="0.2">
      <c r="B250" s="26" t="s">
        <v>369</v>
      </c>
      <c r="E250" s="24">
        <v>3000</v>
      </c>
      <c r="G250" s="3"/>
    </row>
    <row r="251" spans="2:7" customFormat="1" ht="14.25" x14ac:dyDescent="0.2">
      <c r="B251" s="26" t="s">
        <v>370</v>
      </c>
      <c r="E251" s="24">
        <v>4000</v>
      </c>
      <c r="G251" s="3"/>
    </row>
    <row r="252" spans="2:7" customFormat="1" ht="14.25" x14ac:dyDescent="0.2">
      <c r="B252" s="26" t="s">
        <v>371</v>
      </c>
      <c r="E252" s="24">
        <v>5000</v>
      </c>
      <c r="G252" s="3"/>
    </row>
    <row r="253" spans="2:7" customFormat="1" ht="14.25" x14ac:dyDescent="0.2">
      <c r="B253" s="26" t="s">
        <v>372</v>
      </c>
      <c r="E253" s="24">
        <v>6000</v>
      </c>
      <c r="G253" s="3"/>
    </row>
    <row r="254" spans="2:7" customFormat="1" ht="14.25" x14ac:dyDescent="0.2">
      <c r="B254" s="31" t="s">
        <v>18</v>
      </c>
      <c r="E254" s="24"/>
    </row>
    <row r="255" spans="2:7" customFormat="1" ht="14.25" x14ac:dyDescent="0.2">
      <c r="B255" s="26" t="s">
        <v>373</v>
      </c>
      <c r="E255" s="24">
        <v>3000</v>
      </c>
      <c r="G255" s="3"/>
    </row>
    <row r="256" spans="2:7" customFormat="1" ht="14.25" x14ac:dyDescent="0.2">
      <c r="B256" s="26" t="s">
        <v>374</v>
      </c>
      <c r="E256" s="24">
        <v>3500</v>
      </c>
      <c r="G256" s="3"/>
    </row>
    <row r="257" spans="2:7" customFormat="1" ht="14.25" x14ac:dyDescent="0.2">
      <c r="B257" s="26" t="s">
        <v>375</v>
      </c>
      <c r="E257" s="24">
        <v>4000</v>
      </c>
      <c r="G257" s="3"/>
    </row>
    <row r="258" spans="2:7" customFormat="1" ht="14.25" x14ac:dyDescent="0.2">
      <c r="B258" s="26" t="s">
        <v>376</v>
      </c>
      <c r="E258" s="24">
        <v>5000</v>
      </c>
      <c r="G258" s="3"/>
    </row>
    <row r="259" spans="2:7" customFormat="1" ht="14.25" x14ac:dyDescent="0.2">
      <c r="B259" s="26" t="s">
        <v>377</v>
      </c>
      <c r="E259" s="24">
        <v>3000</v>
      </c>
      <c r="G259" s="3"/>
    </row>
    <row r="260" spans="2:7" customFormat="1" ht="14.25" x14ac:dyDescent="0.2">
      <c r="B260" s="26" t="s">
        <v>378</v>
      </c>
      <c r="E260" s="24">
        <v>3500</v>
      </c>
      <c r="G260" s="3"/>
    </row>
    <row r="261" spans="2:7" customFormat="1" ht="14.25" x14ac:dyDescent="0.2">
      <c r="B261" s="26" t="s">
        <v>379</v>
      </c>
      <c r="E261" s="24">
        <v>4000</v>
      </c>
      <c r="G261" s="3"/>
    </row>
    <row r="262" spans="2:7" customFormat="1" ht="14.25" x14ac:dyDescent="0.2">
      <c r="B262" s="26" t="s">
        <v>380</v>
      </c>
      <c r="E262" s="24">
        <v>5000</v>
      </c>
      <c r="G262" s="3"/>
    </row>
    <row r="263" spans="2:7" customFormat="1" ht="14.25" x14ac:dyDescent="0.2">
      <c r="B263" s="26" t="s">
        <v>381</v>
      </c>
      <c r="E263" s="24">
        <v>4000</v>
      </c>
      <c r="G263" s="3"/>
    </row>
    <row r="264" spans="2:7" customFormat="1" ht="16.899999999999999" customHeight="1" x14ac:dyDescent="0.2">
      <c r="B264" s="26" t="s">
        <v>382</v>
      </c>
      <c r="E264" s="24">
        <v>4500</v>
      </c>
      <c r="G264" s="3"/>
    </row>
    <row r="265" spans="2:7" customFormat="1" ht="16.899999999999999" customHeight="1" x14ac:dyDescent="0.2">
      <c r="B265" s="26" t="s">
        <v>383</v>
      </c>
      <c r="E265" s="24">
        <v>5000</v>
      </c>
      <c r="G265" s="3"/>
    </row>
    <row r="266" spans="2:7" customFormat="1" ht="16.899999999999999" customHeight="1" x14ac:dyDescent="0.2">
      <c r="B266" s="26" t="s">
        <v>384</v>
      </c>
      <c r="E266" s="24">
        <v>6000</v>
      </c>
      <c r="G266" s="3"/>
    </row>
    <row r="267" spans="2:7" customFormat="1" ht="14.25" x14ac:dyDescent="0.2">
      <c r="B267" s="26" t="s">
        <v>385</v>
      </c>
      <c r="E267" s="24">
        <v>7000</v>
      </c>
      <c r="G267" s="3"/>
    </row>
    <row r="268" spans="2:7" customFormat="1" ht="14.25" x14ac:dyDescent="0.2">
      <c r="B268" s="26" t="s">
        <v>386</v>
      </c>
      <c r="E268" s="24">
        <v>8000</v>
      </c>
      <c r="G268" s="3"/>
    </row>
    <row r="269" spans="2:7" customFormat="1" ht="14.25" x14ac:dyDescent="0.2">
      <c r="B269" s="26" t="s">
        <v>387</v>
      </c>
      <c r="E269" s="24">
        <v>4000</v>
      </c>
      <c r="G269" s="3"/>
    </row>
    <row r="270" spans="2:7" customFormat="1" ht="14.25" x14ac:dyDescent="0.2">
      <c r="B270" s="26" t="s">
        <v>388</v>
      </c>
      <c r="E270" s="24">
        <v>4500</v>
      </c>
      <c r="G270" s="3"/>
    </row>
    <row r="271" spans="2:7" customFormat="1" ht="14.25" x14ac:dyDescent="0.2">
      <c r="B271" s="26" t="s">
        <v>389</v>
      </c>
      <c r="E271" s="24">
        <v>5000</v>
      </c>
      <c r="G271" s="3"/>
    </row>
    <row r="272" spans="2:7" customFormat="1" ht="14.25" x14ac:dyDescent="0.2">
      <c r="B272" s="26" t="s">
        <v>390</v>
      </c>
      <c r="E272" s="24">
        <v>6000</v>
      </c>
      <c r="G272" s="3"/>
    </row>
    <row r="273" spans="2:7" customFormat="1" ht="14.25" x14ac:dyDescent="0.2">
      <c r="B273" s="26" t="s">
        <v>391</v>
      </c>
      <c r="E273" s="24">
        <v>7000</v>
      </c>
      <c r="G273" s="3"/>
    </row>
    <row r="274" spans="2:7" customFormat="1" ht="14.25" x14ac:dyDescent="0.2">
      <c r="B274" s="26" t="s">
        <v>392</v>
      </c>
      <c r="E274" s="24">
        <v>8000</v>
      </c>
      <c r="G274" s="3"/>
    </row>
    <row r="275" spans="2:7" customFormat="1" ht="14.25" x14ac:dyDescent="0.2">
      <c r="B275" s="26" t="s">
        <v>393</v>
      </c>
      <c r="E275" s="23">
        <v>3000</v>
      </c>
      <c r="G275" s="3"/>
    </row>
    <row r="276" spans="2:7" customFormat="1" ht="14.25" x14ac:dyDescent="0.2">
      <c r="B276" s="26" t="s">
        <v>394</v>
      </c>
      <c r="E276" s="23">
        <v>3500</v>
      </c>
      <c r="G276" s="3"/>
    </row>
    <row r="277" spans="2:7" customFormat="1" ht="14.25" x14ac:dyDescent="0.2">
      <c r="B277" s="26" t="s">
        <v>395</v>
      </c>
      <c r="E277" s="23">
        <v>4000</v>
      </c>
      <c r="G277" s="3"/>
    </row>
    <row r="278" spans="2:7" customFormat="1" ht="14.25" x14ac:dyDescent="0.2">
      <c r="B278" s="26" t="s">
        <v>396</v>
      </c>
      <c r="E278" s="23">
        <v>5000</v>
      </c>
      <c r="G278" s="3"/>
    </row>
    <row r="279" spans="2:7" customFormat="1" ht="14.25" x14ac:dyDescent="0.2">
      <c r="B279" s="26" t="s">
        <v>397</v>
      </c>
      <c r="E279" s="23">
        <v>4000</v>
      </c>
      <c r="G279" s="3"/>
    </row>
    <row r="280" spans="2:7" customFormat="1" ht="14.25" x14ac:dyDescent="0.2">
      <c r="B280" s="26" t="s">
        <v>398</v>
      </c>
      <c r="E280" s="23">
        <v>4500</v>
      </c>
      <c r="G280" s="3"/>
    </row>
    <row r="281" spans="2:7" customFormat="1" ht="14.25" x14ac:dyDescent="0.2">
      <c r="B281" s="26" t="s">
        <v>399</v>
      </c>
      <c r="E281" s="23">
        <v>5000</v>
      </c>
      <c r="G281" s="3"/>
    </row>
    <row r="282" spans="2:7" customFormat="1" ht="14.25" x14ac:dyDescent="0.2">
      <c r="B282" s="26" t="s">
        <v>400</v>
      </c>
      <c r="E282" s="23">
        <v>6000</v>
      </c>
      <c r="G282" s="3"/>
    </row>
    <row r="283" spans="2:7" customFormat="1" ht="14.25" x14ac:dyDescent="0.2">
      <c r="B283" s="26" t="s">
        <v>401</v>
      </c>
      <c r="E283" s="23">
        <v>3000</v>
      </c>
      <c r="G283" s="3"/>
    </row>
    <row r="284" spans="2:7" customFormat="1" ht="14.25" x14ac:dyDescent="0.2">
      <c r="B284" s="26" t="s">
        <v>402</v>
      </c>
      <c r="E284" s="23">
        <v>3500</v>
      </c>
      <c r="G284" s="3"/>
    </row>
    <row r="285" spans="2:7" customFormat="1" ht="14.25" x14ac:dyDescent="0.2">
      <c r="B285" s="26" t="s">
        <v>403</v>
      </c>
      <c r="E285" s="23">
        <v>4000</v>
      </c>
      <c r="G285" s="3"/>
    </row>
    <row r="286" spans="2:7" customFormat="1" ht="14.25" x14ac:dyDescent="0.2">
      <c r="B286" s="26" t="s">
        <v>404</v>
      </c>
      <c r="E286" s="23">
        <v>5000</v>
      </c>
      <c r="G286" s="3"/>
    </row>
    <row r="287" spans="2:7" customFormat="1" ht="14.25" x14ac:dyDescent="0.2">
      <c r="B287" s="26" t="s">
        <v>405</v>
      </c>
      <c r="E287" s="23">
        <v>4000</v>
      </c>
      <c r="G287" s="3"/>
    </row>
    <row r="288" spans="2:7" customFormat="1" ht="14.25" x14ac:dyDescent="0.2">
      <c r="B288" s="26" t="s">
        <v>406</v>
      </c>
      <c r="E288" s="23">
        <v>4500</v>
      </c>
      <c r="G288" s="3"/>
    </row>
    <row r="289" spans="2:7" customFormat="1" ht="14.25" x14ac:dyDescent="0.2">
      <c r="B289" s="26" t="s">
        <v>407</v>
      </c>
      <c r="E289" s="23">
        <v>5000</v>
      </c>
      <c r="G289" s="3"/>
    </row>
    <row r="290" spans="2:7" customFormat="1" ht="14.25" x14ac:dyDescent="0.2">
      <c r="B290" s="26" t="s">
        <v>408</v>
      </c>
      <c r="E290" s="23">
        <v>6000</v>
      </c>
      <c r="G290" s="3"/>
    </row>
    <row r="291" spans="2:7" customFormat="1" ht="14.25" x14ac:dyDescent="0.2">
      <c r="B291" s="26" t="s">
        <v>409</v>
      </c>
      <c r="E291" s="23">
        <v>7000</v>
      </c>
      <c r="G291" s="3"/>
    </row>
    <row r="292" spans="2:7" customFormat="1" ht="14.25" x14ac:dyDescent="0.2">
      <c r="B292" s="26" t="s">
        <v>410</v>
      </c>
      <c r="E292" s="23">
        <v>8000</v>
      </c>
      <c r="G292" s="3"/>
    </row>
    <row r="293" spans="2:7" customFormat="1" ht="14.25" x14ac:dyDescent="0.2">
      <c r="B293" s="26" t="s">
        <v>411</v>
      </c>
      <c r="E293" s="23">
        <v>3000</v>
      </c>
      <c r="G293" s="3"/>
    </row>
    <row r="294" spans="2:7" customFormat="1" ht="14.25" x14ac:dyDescent="0.2">
      <c r="B294" s="26" t="s">
        <v>412</v>
      </c>
      <c r="E294" s="23">
        <v>3500</v>
      </c>
      <c r="G294" s="3"/>
    </row>
    <row r="295" spans="2:7" customFormat="1" ht="14.25" x14ac:dyDescent="0.2">
      <c r="B295" s="26" t="s">
        <v>413</v>
      </c>
      <c r="E295" s="23">
        <v>4000</v>
      </c>
      <c r="G295" s="3"/>
    </row>
    <row r="296" spans="2:7" customFormat="1" ht="14.25" x14ac:dyDescent="0.2">
      <c r="B296" s="26" t="s">
        <v>414</v>
      </c>
      <c r="E296" s="23">
        <v>5000</v>
      </c>
      <c r="G296" s="3"/>
    </row>
    <row r="297" spans="2:7" customFormat="1" ht="14.25" x14ac:dyDescent="0.2">
      <c r="B297" s="26" t="s">
        <v>415</v>
      </c>
      <c r="E297" s="23">
        <v>6000</v>
      </c>
      <c r="G297" s="3"/>
    </row>
    <row r="298" spans="2:7" customFormat="1" ht="14.25" x14ac:dyDescent="0.2">
      <c r="B298" s="26" t="s">
        <v>416</v>
      </c>
      <c r="E298" s="23">
        <v>5000</v>
      </c>
      <c r="G298" s="3"/>
    </row>
    <row r="299" spans="2:7" customFormat="1" ht="14.25" x14ac:dyDescent="0.2">
      <c r="B299" s="26" t="s">
        <v>417</v>
      </c>
      <c r="E299" s="23">
        <v>6000</v>
      </c>
      <c r="G299" s="3"/>
    </row>
    <row r="300" spans="2:7" customFormat="1" ht="14.25" x14ac:dyDescent="0.2">
      <c r="B300" s="26" t="s">
        <v>418</v>
      </c>
      <c r="E300" s="23">
        <v>7000</v>
      </c>
      <c r="G300" s="3"/>
    </row>
    <row r="301" spans="2:7" customFormat="1" ht="14.25" x14ac:dyDescent="0.2">
      <c r="B301" s="26" t="s">
        <v>419</v>
      </c>
      <c r="E301" s="23">
        <v>8000</v>
      </c>
      <c r="G301" s="3"/>
    </row>
    <row r="302" spans="2:7" customFormat="1" ht="14.25" x14ac:dyDescent="0.2">
      <c r="B302" s="26" t="s">
        <v>420</v>
      </c>
      <c r="E302" s="23">
        <v>9000</v>
      </c>
      <c r="G302" s="3"/>
    </row>
    <row r="303" spans="2:7" customFormat="1" ht="14.25" x14ac:dyDescent="0.2">
      <c r="B303" s="26" t="s">
        <v>421</v>
      </c>
      <c r="E303" s="23">
        <v>10000</v>
      </c>
      <c r="G303" s="3"/>
    </row>
    <row r="304" spans="2:7" customFormat="1" ht="14.25" x14ac:dyDescent="0.2">
      <c r="B304" s="26" t="s">
        <v>422</v>
      </c>
      <c r="E304" s="23">
        <v>2500</v>
      </c>
      <c r="G304" s="3"/>
    </row>
    <row r="305" spans="2:7" customFormat="1" ht="14.25" x14ac:dyDescent="0.2">
      <c r="B305" s="26" t="s">
        <v>423</v>
      </c>
      <c r="E305" s="23">
        <v>3000</v>
      </c>
      <c r="G305" s="3"/>
    </row>
    <row r="306" spans="2:7" customFormat="1" ht="14.25" x14ac:dyDescent="0.2">
      <c r="B306" s="26" t="s">
        <v>424</v>
      </c>
      <c r="E306" s="23">
        <v>4000</v>
      </c>
      <c r="G306" s="3"/>
    </row>
    <row r="307" spans="2:7" customFormat="1" ht="14.25" x14ac:dyDescent="0.2">
      <c r="B307" s="26" t="s">
        <v>425</v>
      </c>
      <c r="E307" s="23">
        <v>5000</v>
      </c>
      <c r="G307" s="3"/>
    </row>
    <row r="308" spans="2:7" customFormat="1" ht="14.25" x14ac:dyDescent="0.2">
      <c r="B308" s="26" t="s">
        <v>426</v>
      </c>
      <c r="E308" s="23">
        <v>4000</v>
      </c>
      <c r="G308" s="3"/>
    </row>
    <row r="309" spans="2:7" customFormat="1" ht="14.25" x14ac:dyDescent="0.2">
      <c r="B309" s="26" t="s">
        <v>427</v>
      </c>
      <c r="E309" s="23">
        <v>4500</v>
      </c>
      <c r="G309" s="3"/>
    </row>
    <row r="310" spans="2:7" customFormat="1" ht="14.25" x14ac:dyDescent="0.2">
      <c r="B310" s="26" t="s">
        <v>428</v>
      </c>
      <c r="E310" s="23">
        <v>5000</v>
      </c>
      <c r="G310" s="3"/>
    </row>
    <row r="311" spans="2:7" customFormat="1" ht="14.25" x14ac:dyDescent="0.2">
      <c r="B311" s="26" t="s">
        <v>429</v>
      </c>
      <c r="E311" s="23">
        <v>6000</v>
      </c>
      <c r="G311" s="3"/>
    </row>
    <row r="312" spans="2:7" customFormat="1" ht="14.25" x14ac:dyDescent="0.2">
      <c r="B312" s="26" t="s">
        <v>430</v>
      </c>
      <c r="E312" s="23">
        <v>4000</v>
      </c>
      <c r="G312" s="3"/>
    </row>
    <row r="313" spans="2:7" customFormat="1" ht="14.25" x14ac:dyDescent="0.2">
      <c r="B313" s="31" t="s">
        <v>19</v>
      </c>
      <c r="E313" s="24"/>
    </row>
    <row r="314" spans="2:7" customFormat="1" ht="14.25" x14ac:dyDescent="0.2">
      <c r="B314" s="26" t="s">
        <v>431</v>
      </c>
      <c r="E314" s="23">
        <v>2000</v>
      </c>
      <c r="G314" s="3"/>
    </row>
    <row r="315" spans="2:7" customFormat="1" ht="14.25" x14ac:dyDescent="0.2">
      <c r="B315" s="26" t="s">
        <v>432</v>
      </c>
      <c r="E315" s="23">
        <v>2500</v>
      </c>
      <c r="G315" s="3"/>
    </row>
    <row r="316" spans="2:7" customFormat="1" ht="14.25" x14ac:dyDescent="0.2">
      <c r="B316" s="26" t="s">
        <v>433</v>
      </c>
      <c r="E316" s="23">
        <v>3000</v>
      </c>
      <c r="G316" s="3"/>
    </row>
    <row r="317" spans="2:7" customFormat="1" ht="14.25" x14ac:dyDescent="0.2">
      <c r="B317" s="26" t="s">
        <v>434</v>
      </c>
      <c r="E317" s="23">
        <v>3500</v>
      </c>
      <c r="G317" s="3"/>
    </row>
    <row r="318" spans="2:7" customFormat="1" ht="14.25" x14ac:dyDescent="0.2">
      <c r="B318" s="26" t="s">
        <v>435</v>
      </c>
      <c r="E318" s="23">
        <v>4000</v>
      </c>
      <c r="G318" s="3"/>
    </row>
    <row r="319" spans="2:7" customFormat="1" ht="14.25" x14ac:dyDescent="0.2">
      <c r="B319" s="26" t="s">
        <v>436</v>
      </c>
      <c r="E319" s="23">
        <v>5000</v>
      </c>
      <c r="G319" s="3"/>
    </row>
    <row r="320" spans="2:7" customFormat="1" ht="14.25" x14ac:dyDescent="0.2">
      <c r="B320" s="26" t="s">
        <v>437</v>
      </c>
      <c r="E320" s="23">
        <v>3000</v>
      </c>
      <c r="G320" s="3"/>
    </row>
    <row r="321" spans="2:7" customFormat="1" ht="14.25" x14ac:dyDescent="0.2">
      <c r="B321" s="26" t="s">
        <v>438</v>
      </c>
      <c r="E321" s="23">
        <v>4000</v>
      </c>
      <c r="G321" s="3"/>
    </row>
    <row r="322" spans="2:7" customFormat="1" ht="14.25" x14ac:dyDescent="0.2">
      <c r="B322" s="26" t="s">
        <v>439</v>
      </c>
      <c r="E322" s="23">
        <v>5000</v>
      </c>
      <c r="G322" s="3"/>
    </row>
    <row r="323" spans="2:7" customFormat="1" ht="14.25" x14ac:dyDescent="0.2">
      <c r="B323" s="26" t="s">
        <v>440</v>
      </c>
      <c r="E323" s="23">
        <v>6000</v>
      </c>
      <c r="G323" s="3"/>
    </row>
    <row r="324" spans="2:7" customFormat="1" ht="14.25" x14ac:dyDescent="0.2">
      <c r="B324" s="26" t="s">
        <v>441</v>
      </c>
      <c r="E324" s="23">
        <v>7000</v>
      </c>
      <c r="G324" s="3"/>
    </row>
    <row r="325" spans="2:7" customFormat="1" ht="14.25" x14ac:dyDescent="0.2">
      <c r="B325" s="26" t="s">
        <v>442</v>
      </c>
      <c r="E325" s="23">
        <v>8000</v>
      </c>
      <c r="G325" s="3"/>
    </row>
    <row r="326" spans="2:7" customFormat="1" ht="14.25" x14ac:dyDescent="0.2">
      <c r="B326" s="26" t="s">
        <v>443</v>
      </c>
      <c r="E326" s="23">
        <v>3000</v>
      </c>
      <c r="G326" s="3"/>
    </row>
    <row r="327" spans="2:7" customFormat="1" ht="14.25" x14ac:dyDescent="0.2">
      <c r="B327" s="26" t="s">
        <v>444</v>
      </c>
      <c r="E327" s="23">
        <v>3500</v>
      </c>
      <c r="G327" s="3"/>
    </row>
    <row r="328" spans="2:7" customFormat="1" ht="14.25" x14ac:dyDescent="0.2">
      <c r="B328" s="26" t="s">
        <v>445</v>
      </c>
      <c r="E328" s="23">
        <v>4500</v>
      </c>
      <c r="G328" s="3"/>
    </row>
    <row r="329" spans="2:7" customFormat="1" ht="14.25" x14ac:dyDescent="0.2">
      <c r="B329" s="26" t="s">
        <v>446</v>
      </c>
      <c r="E329" s="23">
        <v>5000</v>
      </c>
      <c r="G329" s="3"/>
    </row>
    <row r="330" spans="2:7" customFormat="1" ht="14.25" x14ac:dyDescent="0.2">
      <c r="B330" s="26" t="s">
        <v>447</v>
      </c>
      <c r="E330" s="23">
        <v>4000</v>
      </c>
      <c r="G330" s="3"/>
    </row>
    <row r="331" spans="2:7" customFormat="1" ht="14.25" x14ac:dyDescent="0.2">
      <c r="B331" s="26" t="s">
        <v>448</v>
      </c>
      <c r="E331" s="23">
        <v>4500</v>
      </c>
      <c r="G331" s="3"/>
    </row>
    <row r="332" spans="2:7" customFormat="1" ht="14.25" x14ac:dyDescent="0.2">
      <c r="B332" s="26" t="s">
        <v>449</v>
      </c>
      <c r="E332" s="23">
        <v>5000</v>
      </c>
      <c r="G332" s="3"/>
    </row>
    <row r="333" spans="2:7" customFormat="1" ht="14.25" x14ac:dyDescent="0.2">
      <c r="B333" s="26" t="s">
        <v>450</v>
      </c>
      <c r="E333" s="23">
        <v>6000</v>
      </c>
      <c r="G333" s="3"/>
    </row>
    <row r="334" spans="2:7" customFormat="1" ht="14.25" x14ac:dyDescent="0.2">
      <c r="B334" s="26" t="s">
        <v>451</v>
      </c>
      <c r="E334" s="23">
        <v>5000</v>
      </c>
      <c r="G334" s="3"/>
    </row>
    <row r="335" spans="2:7" customFormat="1" ht="14.25" x14ac:dyDescent="0.2">
      <c r="B335" s="26" t="s">
        <v>452</v>
      </c>
      <c r="E335" s="23">
        <v>5500</v>
      </c>
      <c r="G335" s="3"/>
    </row>
    <row r="336" spans="2:7" customFormat="1" ht="14.25" x14ac:dyDescent="0.2">
      <c r="B336" s="26" t="s">
        <v>453</v>
      </c>
      <c r="E336" s="23">
        <v>6000</v>
      </c>
      <c r="G336" s="3"/>
    </row>
    <row r="337" spans="2:7" customFormat="1" ht="14.25" x14ac:dyDescent="0.2">
      <c r="B337" s="26" t="s">
        <v>454</v>
      </c>
      <c r="E337" s="23">
        <v>7000</v>
      </c>
      <c r="G337" s="3"/>
    </row>
    <row r="338" spans="2:7" customFormat="1" ht="14.25" x14ac:dyDescent="0.2">
      <c r="B338" s="26" t="s">
        <v>455</v>
      </c>
      <c r="E338" s="23">
        <v>8000</v>
      </c>
      <c r="G338" s="3"/>
    </row>
    <row r="339" spans="2:7" customFormat="1" ht="14.25" x14ac:dyDescent="0.2">
      <c r="B339" s="26" t="s">
        <v>456</v>
      </c>
      <c r="E339" s="23">
        <v>4000</v>
      </c>
      <c r="G339" s="3"/>
    </row>
    <row r="340" spans="2:7" customFormat="1" ht="14.25" x14ac:dyDescent="0.2">
      <c r="B340" s="26" t="s">
        <v>457</v>
      </c>
      <c r="E340" s="23">
        <v>4500</v>
      </c>
      <c r="G340" s="3"/>
    </row>
    <row r="341" spans="2:7" customFormat="1" ht="14.25" x14ac:dyDescent="0.2">
      <c r="B341" s="26" t="s">
        <v>458</v>
      </c>
      <c r="E341" s="23">
        <v>5000</v>
      </c>
      <c r="G341" s="3"/>
    </row>
    <row r="342" spans="2:7" customFormat="1" ht="14.25" x14ac:dyDescent="0.2">
      <c r="B342" s="26" t="s">
        <v>459</v>
      </c>
      <c r="E342" s="23">
        <v>6000</v>
      </c>
      <c r="G342" s="3"/>
    </row>
    <row r="343" spans="2:7" customFormat="1" ht="14.25" x14ac:dyDescent="0.2">
      <c r="B343" s="26" t="s">
        <v>460</v>
      </c>
      <c r="E343" s="23">
        <v>5000</v>
      </c>
      <c r="G343" s="3"/>
    </row>
    <row r="344" spans="2:7" customFormat="1" ht="14.25" x14ac:dyDescent="0.2">
      <c r="B344" s="26" t="s">
        <v>461</v>
      </c>
      <c r="E344" s="23">
        <v>6000</v>
      </c>
      <c r="G344" s="3"/>
    </row>
    <row r="345" spans="2:7" customFormat="1" ht="14.25" x14ac:dyDescent="0.2">
      <c r="B345" s="26" t="s">
        <v>462</v>
      </c>
      <c r="E345" s="23">
        <v>7000</v>
      </c>
      <c r="G345" s="3"/>
    </row>
    <row r="346" spans="2:7" customFormat="1" ht="14.25" x14ac:dyDescent="0.2">
      <c r="B346" s="26" t="s">
        <v>463</v>
      </c>
      <c r="E346" s="23">
        <v>8000</v>
      </c>
      <c r="G346" s="3"/>
    </row>
    <row r="347" spans="2:7" customFormat="1" ht="14.25" x14ac:dyDescent="0.2">
      <c r="B347" s="26" t="s">
        <v>464</v>
      </c>
      <c r="E347" s="23">
        <v>5000</v>
      </c>
      <c r="G347" s="3"/>
    </row>
    <row r="348" spans="2:7" customFormat="1" ht="14.25" x14ac:dyDescent="0.2">
      <c r="B348" s="26" t="s">
        <v>465</v>
      </c>
      <c r="E348" s="23">
        <v>5500</v>
      </c>
      <c r="G348" s="3"/>
    </row>
    <row r="349" spans="2:7" customFormat="1" ht="14.25" x14ac:dyDescent="0.2">
      <c r="B349" s="26" t="s">
        <v>466</v>
      </c>
      <c r="E349" s="23">
        <v>6000</v>
      </c>
      <c r="G349" s="3"/>
    </row>
    <row r="350" spans="2:7" customFormat="1" ht="14.25" x14ac:dyDescent="0.2">
      <c r="B350" s="26" t="s">
        <v>467</v>
      </c>
      <c r="E350" s="23">
        <v>6500</v>
      </c>
      <c r="G350" s="3"/>
    </row>
    <row r="351" spans="2:7" customFormat="1" ht="14.25" x14ac:dyDescent="0.2">
      <c r="B351" s="26" t="s">
        <v>468</v>
      </c>
      <c r="E351" s="23">
        <v>7000</v>
      </c>
      <c r="G351" s="3"/>
    </row>
    <row r="352" spans="2:7" customFormat="1" ht="14.25" x14ac:dyDescent="0.2">
      <c r="B352" s="26" t="s">
        <v>469</v>
      </c>
      <c r="E352" s="23">
        <v>6000</v>
      </c>
      <c r="G352" s="3"/>
    </row>
    <row r="353" spans="2:7" customFormat="1" ht="14.25" x14ac:dyDescent="0.2">
      <c r="B353" s="26" t="s">
        <v>470</v>
      </c>
      <c r="E353" s="23">
        <v>6500</v>
      </c>
      <c r="G353" s="3"/>
    </row>
    <row r="354" spans="2:7" customFormat="1" ht="14.25" x14ac:dyDescent="0.2">
      <c r="B354" s="26" t="s">
        <v>471</v>
      </c>
      <c r="E354" s="23">
        <v>7000</v>
      </c>
      <c r="G354" s="3"/>
    </row>
    <row r="355" spans="2:7" customFormat="1" ht="14.25" x14ac:dyDescent="0.2">
      <c r="B355" s="26" t="s">
        <v>472</v>
      </c>
      <c r="E355" s="23">
        <v>7500</v>
      </c>
      <c r="G355" s="3"/>
    </row>
    <row r="356" spans="2:7" customFormat="1" ht="14.25" x14ac:dyDescent="0.2">
      <c r="B356" s="26" t="s">
        <v>473</v>
      </c>
      <c r="E356" s="23">
        <v>8000</v>
      </c>
      <c r="G356" s="3"/>
    </row>
    <row r="357" spans="2:7" customFormat="1" ht="14.25" x14ac:dyDescent="0.2">
      <c r="B357" s="26" t="s">
        <v>474</v>
      </c>
      <c r="E357" s="23">
        <v>6000</v>
      </c>
      <c r="G357" s="3"/>
    </row>
    <row r="358" spans="2:7" customFormat="1" ht="14.25" x14ac:dyDescent="0.2">
      <c r="B358" s="26" t="s">
        <v>475</v>
      </c>
      <c r="E358" s="23">
        <v>6500</v>
      </c>
      <c r="G358" s="3"/>
    </row>
    <row r="359" spans="2:7" customFormat="1" ht="14.25" x14ac:dyDescent="0.2">
      <c r="B359" s="26" t="s">
        <v>476</v>
      </c>
      <c r="E359" s="23">
        <v>7000</v>
      </c>
      <c r="G359" s="3"/>
    </row>
    <row r="360" spans="2:7" customFormat="1" ht="14.25" x14ac:dyDescent="0.2">
      <c r="B360" s="26" t="s">
        <v>477</v>
      </c>
      <c r="E360" s="23">
        <v>7500</v>
      </c>
      <c r="G360" s="3"/>
    </row>
    <row r="361" spans="2:7" customFormat="1" ht="14.25" x14ac:dyDescent="0.2">
      <c r="B361" s="26" t="s">
        <v>478</v>
      </c>
      <c r="E361" s="23">
        <v>8000</v>
      </c>
      <c r="G361" s="3"/>
    </row>
    <row r="362" spans="2:7" customFormat="1" ht="14.25" x14ac:dyDescent="0.2">
      <c r="B362" s="26" t="s">
        <v>479</v>
      </c>
      <c r="E362" s="23">
        <v>7000</v>
      </c>
      <c r="G362" s="3"/>
    </row>
    <row r="363" spans="2:7" customFormat="1" ht="14.25" x14ac:dyDescent="0.2">
      <c r="B363" s="26" t="s">
        <v>480</v>
      </c>
      <c r="E363" s="23">
        <v>7500</v>
      </c>
      <c r="G363" s="3"/>
    </row>
    <row r="364" spans="2:7" customFormat="1" ht="14.25" x14ac:dyDescent="0.2">
      <c r="B364" s="26" t="s">
        <v>481</v>
      </c>
      <c r="E364" s="23">
        <v>8000</v>
      </c>
      <c r="G364" s="3"/>
    </row>
    <row r="365" spans="2:7" customFormat="1" ht="14.25" x14ac:dyDescent="0.2">
      <c r="B365" s="26" t="s">
        <v>482</v>
      </c>
      <c r="E365" s="23">
        <v>8500</v>
      </c>
      <c r="G365" s="3"/>
    </row>
    <row r="366" spans="2:7" customFormat="1" ht="14.25" x14ac:dyDescent="0.2">
      <c r="B366" s="26" t="s">
        <v>483</v>
      </c>
      <c r="E366" s="23">
        <v>9000</v>
      </c>
      <c r="G366" s="3"/>
    </row>
    <row r="367" spans="2:7" customFormat="1" ht="14.25" x14ac:dyDescent="0.2">
      <c r="B367" s="26" t="s">
        <v>484</v>
      </c>
      <c r="E367" s="23">
        <v>10000</v>
      </c>
      <c r="G367" s="3"/>
    </row>
    <row r="368" spans="2:7" customFormat="1" ht="14.25" x14ac:dyDescent="0.2">
      <c r="B368" s="26" t="s">
        <v>485</v>
      </c>
      <c r="E368" s="23">
        <v>8000</v>
      </c>
      <c r="G368" s="3"/>
    </row>
    <row r="369" spans="2:7" customFormat="1" ht="14.25" x14ac:dyDescent="0.2">
      <c r="B369" s="26" t="s">
        <v>486</v>
      </c>
      <c r="E369" s="23">
        <v>8500</v>
      </c>
      <c r="G369" s="3"/>
    </row>
    <row r="370" spans="2:7" customFormat="1" ht="14.25" x14ac:dyDescent="0.2">
      <c r="B370" s="26" t="s">
        <v>487</v>
      </c>
      <c r="E370" s="23">
        <v>9000</v>
      </c>
      <c r="G370" s="3"/>
    </row>
    <row r="371" spans="2:7" customFormat="1" ht="14.25" x14ac:dyDescent="0.2">
      <c r="B371" s="26" t="s">
        <v>488</v>
      </c>
      <c r="E371" s="23">
        <v>10000</v>
      </c>
      <c r="G371" s="3"/>
    </row>
    <row r="372" spans="2:7" customFormat="1" ht="14.25" x14ac:dyDescent="0.2">
      <c r="B372" s="31" t="s">
        <v>20</v>
      </c>
      <c r="E372" s="24"/>
    </row>
    <row r="373" spans="2:7" customFormat="1" ht="14.25" x14ac:dyDescent="0.2">
      <c r="B373" s="26" t="s">
        <v>489</v>
      </c>
      <c r="E373" s="23">
        <v>1000</v>
      </c>
      <c r="G373" s="3"/>
    </row>
    <row r="374" spans="2:7" customFormat="1" ht="14.25" x14ac:dyDescent="0.2">
      <c r="B374" s="26" t="s">
        <v>490</v>
      </c>
      <c r="E374" s="23">
        <v>1200</v>
      </c>
      <c r="G374" s="3"/>
    </row>
    <row r="375" spans="2:7" customFormat="1" ht="14.25" x14ac:dyDescent="0.2">
      <c r="B375" s="26" t="s">
        <v>491</v>
      </c>
      <c r="E375" s="23">
        <v>1500</v>
      </c>
      <c r="G375" s="3"/>
    </row>
    <row r="376" spans="2:7" customFormat="1" ht="14.25" x14ac:dyDescent="0.2">
      <c r="B376" s="26" t="s">
        <v>492</v>
      </c>
      <c r="E376" s="23">
        <v>1800</v>
      </c>
      <c r="G376" s="3"/>
    </row>
    <row r="377" spans="2:7" customFormat="1" ht="14.25" x14ac:dyDescent="0.2">
      <c r="B377" s="26" t="s">
        <v>493</v>
      </c>
      <c r="E377" s="23">
        <v>2000</v>
      </c>
      <c r="G377" s="3"/>
    </row>
    <row r="378" spans="2:7" customFormat="1" ht="14.25" x14ac:dyDescent="0.2">
      <c r="B378" s="26" t="s">
        <v>494</v>
      </c>
      <c r="E378" s="23">
        <v>1200</v>
      </c>
      <c r="G378" s="3"/>
    </row>
    <row r="379" spans="2:7" customFormat="1" ht="14.25" x14ac:dyDescent="0.2">
      <c r="B379" s="26" t="s">
        <v>495</v>
      </c>
      <c r="E379" s="23">
        <v>1500</v>
      </c>
      <c r="G379" s="3"/>
    </row>
    <row r="380" spans="2:7" customFormat="1" ht="14.25" x14ac:dyDescent="0.2">
      <c r="B380" s="26" t="s">
        <v>496</v>
      </c>
      <c r="E380" s="23">
        <v>1200</v>
      </c>
      <c r="G380" s="3"/>
    </row>
    <row r="381" spans="2:7" customFormat="1" ht="14.25" x14ac:dyDescent="0.2">
      <c r="B381" s="26" t="s">
        <v>497</v>
      </c>
      <c r="E381" s="23">
        <v>1500</v>
      </c>
      <c r="G381" s="3"/>
    </row>
    <row r="382" spans="2:7" customFormat="1" ht="14.25" x14ac:dyDescent="0.2">
      <c r="B382" s="26" t="s">
        <v>498</v>
      </c>
      <c r="E382" s="23">
        <v>1800</v>
      </c>
      <c r="G382" s="3"/>
    </row>
    <row r="383" spans="2:7" customFormat="1" ht="14.25" x14ac:dyDescent="0.2">
      <c r="B383" s="26" t="s">
        <v>499</v>
      </c>
      <c r="E383" s="23">
        <v>2000</v>
      </c>
      <c r="G383" s="3"/>
    </row>
    <row r="384" spans="2:7" customFormat="1" ht="14.25" x14ac:dyDescent="0.2">
      <c r="B384" s="26" t="s">
        <v>500</v>
      </c>
      <c r="E384" s="23">
        <v>1200</v>
      </c>
      <c r="G384" s="3"/>
    </row>
    <row r="385" spans="2:7" customFormat="1" ht="14.25" x14ac:dyDescent="0.2">
      <c r="B385" s="26" t="s">
        <v>501</v>
      </c>
      <c r="E385" s="23">
        <v>1500</v>
      </c>
      <c r="G385" s="3"/>
    </row>
    <row r="386" spans="2:7" customFormat="1" ht="14.25" x14ac:dyDescent="0.2">
      <c r="B386" s="26" t="s">
        <v>502</v>
      </c>
      <c r="E386" s="23">
        <v>2000</v>
      </c>
      <c r="G386" s="3"/>
    </row>
    <row r="387" spans="2:7" customFormat="1" ht="14.25" x14ac:dyDescent="0.2">
      <c r="B387" s="26" t="s">
        <v>503</v>
      </c>
      <c r="E387" s="23">
        <v>2500</v>
      </c>
      <c r="G387" s="3"/>
    </row>
    <row r="388" spans="2:7" customFormat="1" ht="14.25" x14ac:dyDescent="0.2">
      <c r="B388" s="26" t="s">
        <v>504</v>
      </c>
      <c r="E388" s="23">
        <v>3000</v>
      </c>
      <c r="G388" s="3"/>
    </row>
    <row r="389" spans="2:7" customFormat="1" ht="14.25" x14ac:dyDescent="0.2">
      <c r="B389" s="26" t="s">
        <v>505</v>
      </c>
      <c r="E389" s="23">
        <v>3500</v>
      </c>
      <c r="G389" s="3"/>
    </row>
    <row r="390" spans="2:7" customFormat="1" ht="14.25" x14ac:dyDescent="0.2">
      <c r="B390" s="26" t="s">
        <v>506</v>
      </c>
      <c r="E390" s="23">
        <v>5000</v>
      </c>
      <c r="G390" s="3"/>
    </row>
    <row r="391" spans="2:7" customFormat="1" ht="14.25" x14ac:dyDescent="0.2">
      <c r="B391" s="26" t="s">
        <v>507</v>
      </c>
      <c r="E391" s="23">
        <v>2000</v>
      </c>
      <c r="G391" s="3"/>
    </row>
    <row r="392" spans="2:7" customFormat="1" ht="14.25" x14ac:dyDescent="0.2">
      <c r="B392" s="26" t="s">
        <v>508</v>
      </c>
      <c r="E392" s="23">
        <v>2500</v>
      </c>
      <c r="G392" s="3"/>
    </row>
    <row r="393" spans="2:7" customFormat="1" ht="14.25" x14ac:dyDescent="0.2">
      <c r="B393" s="26" t="s">
        <v>509</v>
      </c>
      <c r="E393" s="23">
        <v>3000</v>
      </c>
      <c r="G393" s="3"/>
    </row>
    <row r="394" spans="2:7" customFormat="1" ht="14.25" x14ac:dyDescent="0.2">
      <c r="B394" s="26" t="s">
        <v>510</v>
      </c>
      <c r="E394" s="23">
        <v>3500</v>
      </c>
      <c r="G394" s="3"/>
    </row>
    <row r="395" spans="2:7" customFormat="1" ht="14.25" x14ac:dyDescent="0.2">
      <c r="B395" s="26" t="s">
        <v>511</v>
      </c>
      <c r="E395" s="23">
        <v>4000</v>
      </c>
      <c r="G395" s="3"/>
    </row>
    <row r="396" spans="2:7" customFormat="1" ht="14.25" x14ac:dyDescent="0.2">
      <c r="B396" s="26" t="s">
        <v>512</v>
      </c>
      <c r="E396" s="23">
        <v>5000</v>
      </c>
      <c r="G396" s="3"/>
    </row>
    <row r="397" spans="2:7" customFormat="1" ht="14.25" x14ac:dyDescent="0.2">
      <c r="B397" s="26" t="s">
        <v>513</v>
      </c>
      <c r="E397" s="23">
        <v>2000</v>
      </c>
      <c r="G397" s="3"/>
    </row>
    <row r="398" spans="2:7" customFormat="1" ht="14.25" x14ac:dyDescent="0.2">
      <c r="B398" s="26" t="s">
        <v>514</v>
      </c>
      <c r="E398" s="23">
        <v>2500</v>
      </c>
      <c r="G398" s="3"/>
    </row>
    <row r="399" spans="2:7" customFormat="1" ht="14.25" x14ac:dyDescent="0.2">
      <c r="B399" s="26" t="s">
        <v>515</v>
      </c>
      <c r="E399" s="23">
        <v>3000</v>
      </c>
      <c r="G399" s="3"/>
    </row>
    <row r="400" spans="2:7" customFormat="1" ht="14.25" x14ac:dyDescent="0.2">
      <c r="B400" s="26" t="s">
        <v>516</v>
      </c>
      <c r="E400" s="23">
        <v>3500</v>
      </c>
      <c r="G400" s="3"/>
    </row>
    <row r="401" spans="2:7" customFormat="1" ht="14.25" x14ac:dyDescent="0.2">
      <c r="B401" s="26" t="s">
        <v>517</v>
      </c>
      <c r="E401" s="23">
        <v>4500</v>
      </c>
      <c r="G401" s="3"/>
    </row>
    <row r="402" spans="2:7" customFormat="1" ht="14.25" x14ac:dyDescent="0.2">
      <c r="B402" s="26" t="s">
        <v>518</v>
      </c>
      <c r="E402" s="23">
        <v>3000</v>
      </c>
      <c r="G402" s="3"/>
    </row>
    <row r="403" spans="2:7" customFormat="1" ht="14.25" x14ac:dyDescent="0.2">
      <c r="B403" s="26" t="s">
        <v>519</v>
      </c>
      <c r="E403" s="23">
        <v>3500</v>
      </c>
      <c r="G403" s="3"/>
    </row>
    <row r="404" spans="2:7" customFormat="1" ht="14.25" x14ac:dyDescent="0.2">
      <c r="B404" s="26" t="s">
        <v>520</v>
      </c>
      <c r="E404" s="23">
        <v>4000</v>
      </c>
      <c r="G404" s="3"/>
    </row>
    <row r="405" spans="2:7" customFormat="1" ht="14.25" x14ac:dyDescent="0.2">
      <c r="B405" s="26" t="s">
        <v>521</v>
      </c>
      <c r="E405" s="23">
        <v>4500</v>
      </c>
      <c r="G405" s="3"/>
    </row>
    <row r="406" spans="2:7" customFormat="1" ht="14.25" x14ac:dyDescent="0.2">
      <c r="B406" s="26" t="s">
        <v>522</v>
      </c>
      <c r="E406" s="23">
        <v>5000</v>
      </c>
      <c r="G406" s="3"/>
    </row>
    <row r="407" spans="2:7" customFormat="1" ht="14.25" x14ac:dyDescent="0.2">
      <c r="B407" s="26" t="s">
        <v>523</v>
      </c>
      <c r="E407" s="23">
        <v>4000</v>
      </c>
      <c r="G407" s="3"/>
    </row>
    <row r="408" spans="2:7" customFormat="1" ht="14.25" x14ac:dyDescent="0.2">
      <c r="B408" s="26" t="s">
        <v>524</v>
      </c>
      <c r="E408" s="23">
        <v>4500</v>
      </c>
      <c r="G408" s="3"/>
    </row>
    <row r="409" spans="2:7" customFormat="1" ht="14.25" x14ac:dyDescent="0.2">
      <c r="B409" s="26" t="s">
        <v>525</v>
      </c>
      <c r="E409" s="23">
        <v>5000</v>
      </c>
      <c r="G409" s="3"/>
    </row>
    <row r="410" spans="2:7" customFormat="1" ht="14.25" x14ac:dyDescent="0.2">
      <c r="B410" s="26" t="s">
        <v>526</v>
      </c>
      <c r="E410" s="23">
        <v>4000</v>
      </c>
      <c r="G410" s="3"/>
    </row>
    <row r="411" spans="2:7" customFormat="1" ht="14.25" x14ac:dyDescent="0.2">
      <c r="B411" s="26" t="s">
        <v>527</v>
      </c>
      <c r="E411" s="23">
        <v>4500</v>
      </c>
      <c r="G411" s="3"/>
    </row>
    <row r="412" spans="2:7" customFormat="1" ht="14.25" x14ac:dyDescent="0.2">
      <c r="B412" s="26" t="s">
        <v>528</v>
      </c>
      <c r="E412" s="23">
        <v>5000</v>
      </c>
      <c r="G412" s="3"/>
    </row>
    <row r="413" spans="2:7" customFormat="1" ht="14.25" x14ac:dyDescent="0.2">
      <c r="B413" s="26" t="s">
        <v>529</v>
      </c>
      <c r="E413" s="23">
        <v>1500</v>
      </c>
      <c r="G413" s="3"/>
    </row>
    <row r="414" spans="2:7" customFormat="1" ht="14.25" x14ac:dyDescent="0.2">
      <c r="B414" s="26" t="s">
        <v>530</v>
      </c>
      <c r="E414" s="23">
        <v>1800</v>
      </c>
      <c r="G414" s="3"/>
    </row>
    <row r="415" spans="2:7" customFormat="1" ht="14.25" x14ac:dyDescent="0.2">
      <c r="B415" s="26" t="s">
        <v>531</v>
      </c>
      <c r="E415" s="23">
        <v>2000</v>
      </c>
      <c r="G415" s="3"/>
    </row>
    <row r="416" spans="2:7" customFormat="1" ht="14.25" x14ac:dyDescent="0.2">
      <c r="B416" s="26" t="s">
        <v>532</v>
      </c>
      <c r="E416" s="23">
        <v>3000</v>
      </c>
      <c r="G416" s="3"/>
    </row>
    <row r="417" spans="2:7" customFormat="1" ht="14.25" x14ac:dyDescent="0.2">
      <c r="B417" s="26" t="s">
        <v>533</v>
      </c>
      <c r="E417" s="23">
        <v>5000</v>
      </c>
      <c r="G417" s="3"/>
    </row>
    <row r="418" spans="2:7" customFormat="1" ht="14.25" x14ac:dyDescent="0.2">
      <c r="B418" s="26" t="s">
        <v>534</v>
      </c>
      <c r="E418" s="23">
        <v>5500</v>
      </c>
      <c r="G418" s="3"/>
    </row>
    <row r="419" spans="2:7" customFormat="1" ht="14.25" x14ac:dyDescent="0.2">
      <c r="B419" s="26" t="s">
        <v>535</v>
      </c>
      <c r="E419" s="23">
        <v>6000</v>
      </c>
      <c r="G419" s="3"/>
    </row>
    <row r="420" spans="2:7" customFormat="1" ht="14.25" x14ac:dyDescent="0.2">
      <c r="B420" s="26" t="s">
        <v>536</v>
      </c>
      <c r="E420" s="23">
        <v>6500</v>
      </c>
      <c r="G420" s="3"/>
    </row>
    <row r="421" spans="2:7" customFormat="1" ht="14.25" x14ac:dyDescent="0.2">
      <c r="B421" s="26" t="s">
        <v>537</v>
      </c>
      <c r="E421" s="23">
        <v>7000</v>
      </c>
      <c r="G421" s="3"/>
    </row>
    <row r="422" spans="2:7" customFormat="1" ht="14.25" x14ac:dyDescent="0.2">
      <c r="B422" s="26" t="s">
        <v>538</v>
      </c>
      <c r="E422" s="23">
        <v>2500</v>
      </c>
      <c r="G422" s="3"/>
    </row>
    <row r="423" spans="2:7" customFormat="1" ht="14.25" x14ac:dyDescent="0.2">
      <c r="B423" s="26" t="s">
        <v>539</v>
      </c>
      <c r="E423" s="23">
        <v>3000</v>
      </c>
      <c r="G423" s="3"/>
    </row>
    <row r="424" spans="2:7" customFormat="1" ht="14.25" x14ac:dyDescent="0.2">
      <c r="B424" s="26" t="s">
        <v>540</v>
      </c>
      <c r="E424" s="23">
        <v>3500</v>
      </c>
      <c r="G424" s="3"/>
    </row>
    <row r="425" spans="2:7" customFormat="1" ht="14.25" x14ac:dyDescent="0.2">
      <c r="B425" s="26" t="s">
        <v>541</v>
      </c>
      <c r="E425" s="23">
        <v>4000</v>
      </c>
      <c r="G425" s="3"/>
    </row>
    <row r="426" spans="2:7" customFormat="1" ht="14.25" x14ac:dyDescent="0.2">
      <c r="B426" s="26" t="s">
        <v>542</v>
      </c>
      <c r="E426" s="23">
        <v>5000</v>
      </c>
      <c r="G426" s="3"/>
    </row>
    <row r="427" spans="2:7" customFormat="1" ht="14.25" x14ac:dyDescent="0.2">
      <c r="B427" s="26" t="s">
        <v>543</v>
      </c>
      <c r="E427" s="23">
        <v>5500</v>
      </c>
      <c r="G427" s="3"/>
    </row>
    <row r="428" spans="2:7" customFormat="1" ht="14.25" x14ac:dyDescent="0.2">
      <c r="B428" s="26" t="s">
        <v>544</v>
      </c>
      <c r="E428" s="23">
        <v>6000</v>
      </c>
      <c r="G428" s="3"/>
    </row>
    <row r="429" spans="2:7" customFormat="1" ht="14.25" x14ac:dyDescent="0.2">
      <c r="B429" s="26" t="s">
        <v>545</v>
      </c>
      <c r="E429" s="23">
        <v>6500</v>
      </c>
      <c r="G429" s="3"/>
    </row>
    <row r="430" spans="2:7" customFormat="1" ht="14.25" x14ac:dyDescent="0.2">
      <c r="B430" s="26" t="s">
        <v>546</v>
      </c>
      <c r="E430" s="23">
        <v>7000</v>
      </c>
      <c r="G430" s="3"/>
    </row>
    <row r="431" spans="2:7" customFormat="1" ht="14.25" x14ac:dyDescent="0.2">
      <c r="B431" s="26" t="s">
        <v>547</v>
      </c>
      <c r="E431" s="23">
        <v>7500</v>
      </c>
      <c r="G431" s="3"/>
    </row>
    <row r="432" spans="2:7" customFormat="1" ht="14.25" x14ac:dyDescent="0.2">
      <c r="B432" s="26" t="s">
        <v>548</v>
      </c>
      <c r="E432" s="23">
        <v>8000</v>
      </c>
      <c r="G432" s="3"/>
    </row>
    <row r="433" spans="2:7" customFormat="1" ht="14.25" x14ac:dyDescent="0.2">
      <c r="B433" s="26" t="s">
        <v>549</v>
      </c>
      <c r="E433" s="23">
        <v>2500</v>
      </c>
      <c r="G433" s="3"/>
    </row>
    <row r="434" spans="2:7" customFormat="1" ht="14.25" x14ac:dyDescent="0.2">
      <c r="B434" s="26" t="s">
        <v>550</v>
      </c>
      <c r="E434" s="23">
        <v>3000</v>
      </c>
      <c r="G434" s="3"/>
    </row>
    <row r="435" spans="2:7" customFormat="1" ht="14.25" x14ac:dyDescent="0.2">
      <c r="B435" s="26" t="s">
        <v>551</v>
      </c>
      <c r="E435" s="23">
        <v>3500</v>
      </c>
      <c r="G435" s="3"/>
    </row>
    <row r="436" spans="2:7" customFormat="1" ht="14.25" x14ac:dyDescent="0.2">
      <c r="B436" s="26" t="s">
        <v>552</v>
      </c>
      <c r="E436" s="23">
        <v>4000</v>
      </c>
      <c r="G436" s="3"/>
    </row>
    <row r="437" spans="2:7" customFormat="1" ht="14.25" x14ac:dyDescent="0.2">
      <c r="B437" s="26" t="s">
        <v>553</v>
      </c>
      <c r="E437" s="23">
        <v>4000</v>
      </c>
      <c r="G437" s="3"/>
    </row>
    <row r="438" spans="2:7" customFormat="1" ht="14.25" x14ac:dyDescent="0.2">
      <c r="B438" s="26" t="s">
        <v>554</v>
      </c>
      <c r="E438" s="23">
        <v>4500</v>
      </c>
      <c r="G438" s="3"/>
    </row>
    <row r="439" spans="2:7" customFormat="1" ht="14.25" x14ac:dyDescent="0.2">
      <c r="B439" s="26" t="s">
        <v>555</v>
      </c>
      <c r="E439" s="23">
        <v>5000</v>
      </c>
      <c r="G439" s="3"/>
    </row>
    <row r="440" spans="2:7" customFormat="1" ht="14.25" x14ac:dyDescent="0.2">
      <c r="B440" s="26" t="s">
        <v>556</v>
      </c>
      <c r="E440" s="23">
        <v>5500</v>
      </c>
      <c r="G440" s="3"/>
    </row>
    <row r="441" spans="2:7" customFormat="1" ht="14.25" x14ac:dyDescent="0.2">
      <c r="B441" s="26" t="s">
        <v>557</v>
      </c>
      <c r="E441" s="23">
        <v>6000</v>
      </c>
      <c r="G441" s="3"/>
    </row>
    <row r="442" spans="2:7" customFormat="1" ht="14.25" x14ac:dyDescent="0.2">
      <c r="B442" s="26" t="s">
        <v>558</v>
      </c>
      <c r="E442" s="23">
        <v>1000</v>
      </c>
      <c r="G442" s="3"/>
    </row>
    <row r="443" spans="2:7" customFormat="1" ht="14.25" x14ac:dyDescent="0.2">
      <c r="B443" s="26" t="s">
        <v>559</v>
      </c>
      <c r="E443" s="23">
        <v>1200</v>
      </c>
      <c r="G443" s="3"/>
    </row>
    <row r="444" spans="2:7" customFormat="1" ht="14.25" x14ac:dyDescent="0.2">
      <c r="B444" s="26" t="s">
        <v>560</v>
      </c>
      <c r="E444" s="23">
        <v>1500</v>
      </c>
      <c r="G444" s="3"/>
    </row>
    <row r="445" spans="2:7" customFormat="1" ht="14.25" x14ac:dyDescent="0.2">
      <c r="B445" s="26" t="s">
        <v>561</v>
      </c>
      <c r="E445" s="23">
        <v>2000</v>
      </c>
      <c r="G445" s="3"/>
    </row>
    <row r="446" spans="2:7" customFormat="1" ht="14.25" x14ac:dyDescent="0.2">
      <c r="B446" s="26" t="s">
        <v>562</v>
      </c>
      <c r="E446" s="23">
        <v>22000</v>
      </c>
      <c r="G446" s="3"/>
    </row>
    <row r="447" spans="2:7" customFormat="1" ht="14.25" x14ac:dyDescent="0.2">
      <c r="B447" s="26" t="s">
        <v>563</v>
      </c>
      <c r="E447" s="23">
        <v>23000</v>
      </c>
      <c r="G447" s="3"/>
    </row>
    <row r="448" spans="2:7" customFormat="1" ht="14.25" x14ac:dyDescent="0.2">
      <c r="B448" s="26" t="s">
        <v>564</v>
      </c>
      <c r="E448" s="23">
        <v>24000</v>
      </c>
      <c r="G448" s="3"/>
    </row>
    <row r="449" spans="2:7" customFormat="1" ht="14.25" x14ac:dyDescent="0.2">
      <c r="B449" s="26" t="s">
        <v>565</v>
      </c>
      <c r="E449" s="23">
        <v>25000</v>
      </c>
      <c r="G449" s="3"/>
    </row>
    <row r="450" spans="2:7" customFormat="1" ht="14.25" x14ac:dyDescent="0.2">
      <c r="B450" s="32" t="s">
        <v>21</v>
      </c>
      <c r="E450" s="23"/>
    </row>
    <row r="451" spans="2:7" customFormat="1" ht="14.25" x14ac:dyDescent="0.2">
      <c r="B451" s="26" t="s">
        <v>566</v>
      </c>
      <c r="E451" s="23">
        <v>4000</v>
      </c>
      <c r="G451" s="3"/>
    </row>
    <row r="452" spans="2:7" customFormat="1" ht="14.25" x14ac:dyDescent="0.2">
      <c r="B452" s="26" t="s">
        <v>567</v>
      </c>
      <c r="E452" s="23">
        <v>5000</v>
      </c>
      <c r="G452" s="3"/>
    </row>
    <row r="453" spans="2:7" customFormat="1" ht="14.25" x14ac:dyDescent="0.2">
      <c r="B453" s="26" t="s">
        <v>568</v>
      </c>
      <c r="E453" s="23">
        <v>6000</v>
      </c>
      <c r="G453" s="3"/>
    </row>
    <row r="454" spans="2:7" customFormat="1" ht="14.25" x14ac:dyDescent="0.2">
      <c r="B454" s="26" t="s">
        <v>569</v>
      </c>
      <c r="E454" s="23">
        <v>7000</v>
      </c>
      <c r="G454" s="3"/>
    </row>
    <row r="455" spans="2:7" customFormat="1" ht="14.25" x14ac:dyDescent="0.2">
      <c r="B455" s="26" t="s">
        <v>570</v>
      </c>
      <c r="E455" s="23">
        <v>8000</v>
      </c>
      <c r="G455" s="3"/>
    </row>
    <row r="456" spans="2:7" customFormat="1" ht="14.25" x14ac:dyDescent="0.2">
      <c r="B456" s="26" t="s">
        <v>571</v>
      </c>
      <c r="E456" s="23">
        <v>3000</v>
      </c>
      <c r="G456" s="3"/>
    </row>
    <row r="457" spans="2:7" customFormat="1" ht="14.25" x14ac:dyDescent="0.2">
      <c r="B457" s="26" t="s">
        <v>572</v>
      </c>
      <c r="E457" s="23">
        <v>4000</v>
      </c>
      <c r="G457" s="3"/>
    </row>
    <row r="458" spans="2:7" customFormat="1" ht="14.25" x14ac:dyDescent="0.2">
      <c r="B458" s="26" t="s">
        <v>573</v>
      </c>
      <c r="E458" s="23">
        <v>5000</v>
      </c>
      <c r="G458" s="3"/>
    </row>
    <row r="459" spans="2:7" customFormat="1" ht="14.25" x14ac:dyDescent="0.2">
      <c r="B459" s="26" t="s">
        <v>574</v>
      </c>
      <c r="E459" s="23">
        <v>6000</v>
      </c>
      <c r="G459" s="3"/>
    </row>
    <row r="460" spans="2:7" customFormat="1" ht="14.25" x14ac:dyDescent="0.2">
      <c r="B460" s="26" t="s">
        <v>575</v>
      </c>
      <c r="E460" s="23">
        <v>7000</v>
      </c>
      <c r="G460" s="3"/>
    </row>
    <row r="461" spans="2:7" customFormat="1" ht="14.25" x14ac:dyDescent="0.2">
      <c r="B461" s="26" t="s">
        <v>576</v>
      </c>
      <c r="E461" s="23">
        <v>8000</v>
      </c>
      <c r="G461" s="3"/>
    </row>
    <row r="462" spans="2:7" customFormat="1" ht="14.25" x14ac:dyDescent="0.2">
      <c r="B462" s="26" t="s">
        <v>577</v>
      </c>
      <c r="E462" s="23">
        <v>4000</v>
      </c>
      <c r="G462" s="3"/>
    </row>
    <row r="463" spans="2:7" customFormat="1" ht="14.25" x14ac:dyDescent="0.2">
      <c r="B463" s="26" t="s">
        <v>578</v>
      </c>
      <c r="E463" s="23">
        <v>5000</v>
      </c>
      <c r="G463" s="3"/>
    </row>
    <row r="464" spans="2:7" customFormat="1" ht="14.25" x14ac:dyDescent="0.2">
      <c r="B464" s="26" t="s">
        <v>579</v>
      </c>
      <c r="E464" s="23">
        <v>6000</v>
      </c>
      <c r="G464" s="3"/>
    </row>
    <row r="465" spans="2:7" customFormat="1" ht="14.25" x14ac:dyDescent="0.2">
      <c r="B465" s="26" t="s">
        <v>580</v>
      </c>
      <c r="E465" s="23">
        <v>7000</v>
      </c>
      <c r="G465" s="3"/>
    </row>
    <row r="466" spans="2:7" customFormat="1" ht="14.25" x14ac:dyDescent="0.2">
      <c r="B466" s="26" t="s">
        <v>581</v>
      </c>
      <c r="E466" s="23">
        <v>8000</v>
      </c>
      <c r="G466" s="3"/>
    </row>
    <row r="467" spans="2:7" customFormat="1" ht="14.25" x14ac:dyDescent="0.2">
      <c r="B467" s="26" t="s">
        <v>582</v>
      </c>
      <c r="E467" s="23">
        <v>10000</v>
      </c>
      <c r="G467" s="3"/>
    </row>
    <row r="468" spans="2:7" customFormat="1" ht="14.25" x14ac:dyDescent="0.2">
      <c r="B468" s="26" t="s">
        <v>583</v>
      </c>
      <c r="E468" s="23">
        <v>5000</v>
      </c>
      <c r="G468" s="3"/>
    </row>
    <row r="469" spans="2:7" customFormat="1" ht="14.25" x14ac:dyDescent="0.2">
      <c r="B469" s="26" t="s">
        <v>584</v>
      </c>
      <c r="E469" s="23">
        <v>6000</v>
      </c>
      <c r="G469" s="3"/>
    </row>
    <row r="470" spans="2:7" customFormat="1" ht="14.25" x14ac:dyDescent="0.2">
      <c r="B470" s="26" t="s">
        <v>585</v>
      </c>
      <c r="E470" s="23">
        <v>7000</v>
      </c>
      <c r="G470" s="3"/>
    </row>
    <row r="471" spans="2:7" customFormat="1" ht="14.25" x14ac:dyDescent="0.2">
      <c r="B471" s="26" t="s">
        <v>586</v>
      </c>
      <c r="E471" s="23">
        <v>8000</v>
      </c>
      <c r="G471" s="3"/>
    </row>
    <row r="472" spans="2:7" customFormat="1" ht="14.25" x14ac:dyDescent="0.2">
      <c r="B472" s="26" t="s">
        <v>587</v>
      </c>
      <c r="E472" s="23">
        <v>10000</v>
      </c>
      <c r="G472" s="3"/>
    </row>
    <row r="473" spans="2:7" customFormat="1" ht="14.25" x14ac:dyDescent="0.2">
      <c r="B473" s="26" t="s">
        <v>588</v>
      </c>
      <c r="E473" s="23">
        <v>4000</v>
      </c>
      <c r="G473" s="3"/>
    </row>
    <row r="474" spans="2:7" customFormat="1" ht="14.25" x14ac:dyDescent="0.2">
      <c r="B474" s="26" t="s">
        <v>589</v>
      </c>
      <c r="E474" s="23">
        <v>5000</v>
      </c>
      <c r="G474" s="3"/>
    </row>
    <row r="475" spans="2:7" customFormat="1" ht="14.25" x14ac:dyDescent="0.2">
      <c r="B475" s="26" t="s">
        <v>590</v>
      </c>
      <c r="E475" s="23">
        <v>6000</v>
      </c>
      <c r="G475" s="3"/>
    </row>
    <row r="476" spans="2:7" customFormat="1" ht="14.25" x14ac:dyDescent="0.2">
      <c r="B476" s="26" t="s">
        <v>591</v>
      </c>
      <c r="E476" s="23">
        <v>7000</v>
      </c>
      <c r="G476" s="3"/>
    </row>
    <row r="477" spans="2:7" customFormat="1" ht="14.25" x14ac:dyDescent="0.2">
      <c r="B477" s="26" t="s">
        <v>592</v>
      </c>
      <c r="E477" s="23">
        <v>8000</v>
      </c>
      <c r="G477" s="3"/>
    </row>
    <row r="478" spans="2:7" customFormat="1" ht="14.25" x14ac:dyDescent="0.2">
      <c r="B478" s="26" t="s">
        <v>593</v>
      </c>
      <c r="E478" s="23">
        <v>4000</v>
      </c>
      <c r="G478" s="3"/>
    </row>
    <row r="479" spans="2:7" customFormat="1" ht="14.25" x14ac:dyDescent="0.2">
      <c r="B479" s="26" t="s">
        <v>594</v>
      </c>
      <c r="E479" s="23">
        <v>5000</v>
      </c>
      <c r="G479" s="3"/>
    </row>
    <row r="480" spans="2:7" customFormat="1" ht="14.25" x14ac:dyDescent="0.2">
      <c r="B480" s="26" t="s">
        <v>595</v>
      </c>
      <c r="E480" s="23">
        <v>6000</v>
      </c>
      <c r="G480" s="3"/>
    </row>
    <row r="481" spans="2:7" customFormat="1" ht="14.25" x14ac:dyDescent="0.2">
      <c r="B481" s="26" t="s">
        <v>596</v>
      </c>
      <c r="E481" s="23">
        <v>7000</v>
      </c>
      <c r="G481" s="3"/>
    </row>
    <row r="482" spans="2:7" customFormat="1" ht="14.25" x14ac:dyDescent="0.2">
      <c r="B482" s="26" t="s">
        <v>597</v>
      </c>
      <c r="E482" s="23">
        <v>8000</v>
      </c>
      <c r="G482" s="3"/>
    </row>
    <row r="483" spans="2:7" customFormat="1" ht="14.25" x14ac:dyDescent="0.2">
      <c r="B483" s="26" t="s">
        <v>598</v>
      </c>
      <c r="E483" s="23">
        <v>3000</v>
      </c>
      <c r="G483" s="3"/>
    </row>
    <row r="484" spans="2:7" customFormat="1" ht="14.25" x14ac:dyDescent="0.2">
      <c r="B484" s="26" t="s">
        <v>599</v>
      </c>
      <c r="E484" s="23">
        <v>3500</v>
      </c>
      <c r="G484" s="3"/>
    </row>
    <row r="485" spans="2:7" customFormat="1" ht="14.25" x14ac:dyDescent="0.2">
      <c r="B485" s="26" t="s">
        <v>600</v>
      </c>
      <c r="E485" s="23">
        <v>4000</v>
      </c>
      <c r="G485" s="3"/>
    </row>
    <row r="486" spans="2:7" customFormat="1" ht="14.25" x14ac:dyDescent="0.2">
      <c r="B486" s="26" t="s">
        <v>601</v>
      </c>
      <c r="E486" s="23">
        <v>4500</v>
      </c>
      <c r="G486" s="3"/>
    </row>
    <row r="487" spans="2:7" customFormat="1" ht="14.25" x14ac:dyDescent="0.2">
      <c r="B487" s="26" t="s">
        <v>602</v>
      </c>
      <c r="E487" s="23">
        <v>5000</v>
      </c>
      <c r="G487" s="3"/>
    </row>
    <row r="488" spans="2:7" customFormat="1" ht="14.25" x14ac:dyDescent="0.2">
      <c r="B488" s="26" t="s">
        <v>603</v>
      </c>
      <c r="E488" s="23">
        <v>4000</v>
      </c>
      <c r="G488" s="3"/>
    </row>
    <row r="489" spans="2:7" customFormat="1" ht="14.25" x14ac:dyDescent="0.2">
      <c r="B489" s="26" t="s">
        <v>604</v>
      </c>
      <c r="E489" s="23">
        <v>4500</v>
      </c>
      <c r="G489" s="3"/>
    </row>
    <row r="490" spans="2:7" customFormat="1" ht="14.25" x14ac:dyDescent="0.2">
      <c r="B490" s="26" t="s">
        <v>605</v>
      </c>
      <c r="E490" s="23">
        <v>5000</v>
      </c>
      <c r="G490" s="3"/>
    </row>
    <row r="491" spans="2:7" customFormat="1" ht="14.25" x14ac:dyDescent="0.2">
      <c r="B491" s="26" t="s">
        <v>606</v>
      </c>
      <c r="E491" s="23">
        <v>6000</v>
      </c>
      <c r="G491" s="3"/>
    </row>
    <row r="492" spans="2:7" customFormat="1" ht="14.25" x14ac:dyDescent="0.2">
      <c r="B492" s="26" t="s">
        <v>607</v>
      </c>
      <c r="E492" s="23">
        <v>4000</v>
      </c>
      <c r="G492" s="3"/>
    </row>
    <row r="493" spans="2:7" customFormat="1" ht="14.25" x14ac:dyDescent="0.2">
      <c r="B493" s="26" t="s">
        <v>608</v>
      </c>
      <c r="E493" s="23">
        <v>4500</v>
      </c>
      <c r="G493" s="3"/>
    </row>
    <row r="494" spans="2:7" customFormat="1" ht="14.25" x14ac:dyDescent="0.2">
      <c r="B494" s="26" t="s">
        <v>609</v>
      </c>
      <c r="E494" s="23">
        <v>5000</v>
      </c>
      <c r="G494" s="3"/>
    </row>
    <row r="495" spans="2:7" customFormat="1" ht="14.25" x14ac:dyDescent="0.2">
      <c r="B495" s="26" t="s">
        <v>610</v>
      </c>
      <c r="E495" s="23">
        <v>6000</v>
      </c>
      <c r="G495" s="3"/>
    </row>
    <row r="496" spans="2:7" customFormat="1" ht="14.25" x14ac:dyDescent="0.2">
      <c r="B496" s="26" t="s">
        <v>611</v>
      </c>
      <c r="E496" s="23">
        <v>7000</v>
      </c>
      <c r="G496" s="3"/>
    </row>
    <row r="497" spans="2:7" customFormat="1" ht="14.25" x14ac:dyDescent="0.2">
      <c r="B497" s="26" t="s">
        <v>612</v>
      </c>
      <c r="E497" s="23">
        <v>8000</v>
      </c>
      <c r="G497" s="3"/>
    </row>
    <row r="498" spans="2:7" customFormat="1" ht="14.25" x14ac:dyDescent="0.2">
      <c r="B498" s="26" t="s">
        <v>613</v>
      </c>
      <c r="E498" s="23">
        <v>4000</v>
      </c>
      <c r="G498" s="3"/>
    </row>
    <row r="499" spans="2:7" customFormat="1" ht="14.25" x14ac:dyDescent="0.2">
      <c r="B499" s="26" t="s">
        <v>614</v>
      </c>
      <c r="E499" s="23">
        <v>4500</v>
      </c>
      <c r="G499" s="3"/>
    </row>
    <row r="500" spans="2:7" customFormat="1" ht="14.25" x14ac:dyDescent="0.2">
      <c r="B500" s="26" t="s">
        <v>615</v>
      </c>
      <c r="E500" s="23">
        <v>5000</v>
      </c>
      <c r="G500" s="3"/>
    </row>
    <row r="501" spans="2:7" customFormat="1" ht="14.25" x14ac:dyDescent="0.2">
      <c r="B501" s="26" t="s">
        <v>616</v>
      </c>
      <c r="E501" s="23">
        <v>5500</v>
      </c>
      <c r="G501" s="3"/>
    </row>
    <row r="502" spans="2:7" customFormat="1" ht="14.25" x14ac:dyDescent="0.2">
      <c r="B502" s="26" t="s">
        <v>617</v>
      </c>
      <c r="E502" s="23">
        <v>6000</v>
      </c>
      <c r="G502" s="3"/>
    </row>
    <row r="503" spans="2:7" customFormat="1" ht="14.25" x14ac:dyDescent="0.2">
      <c r="B503" s="26" t="s">
        <v>618</v>
      </c>
      <c r="E503" s="23">
        <v>4000</v>
      </c>
      <c r="G503" s="3"/>
    </row>
    <row r="504" spans="2:7" customFormat="1" ht="14.25" x14ac:dyDescent="0.2">
      <c r="B504" s="26" t="s">
        <v>619</v>
      </c>
      <c r="E504" s="23">
        <v>5000</v>
      </c>
      <c r="G504" s="3"/>
    </row>
    <row r="505" spans="2:7" customFormat="1" ht="14.25" x14ac:dyDescent="0.2">
      <c r="B505" s="26" t="s">
        <v>620</v>
      </c>
      <c r="E505" s="23">
        <v>6000</v>
      </c>
      <c r="G505" s="3"/>
    </row>
    <row r="506" spans="2:7" customFormat="1" ht="14.25" x14ac:dyDescent="0.2">
      <c r="B506" s="26" t="s">
        <v>621</v>
      </c>
      <c r="E506" s="23">
        <v>7000</v>
      </c>
      <c r="G506" s="3"/>
    </row>
    <row r="507" spans="2:7" customFormat="1" ht="14.25" x14ac:dyDescent="0.2">
      <c r="B507" s="26" t="s">
        <v>622</v>
      </c>
      <c r="E507" s="23">
        <v>8000</v>
      </c>
      <c r="G507" s="3"/>
    </row>
    <row r="508" spans="2:7" customFormat="1" ht="14.25" x14ac:dyDescent="0.2">
      <c r="B508" s="26" t="s">
        <v>623</v>
      </c>
      <c r="E508" s="23">
        <v>10000</v>
      </c>
      <c r="G508" s="3"/>
    </row>
    <row r="509" spans="2:7" customFormat="1" ht="14.25" x14ac:dyDescent="0.2">
      <c r="B509" s="26" t="s">
        <v>624</v>
      </c>
      <c r="E509" s="23">
        <v>4000</v>
      </c>
      <c r="G509" s="3"/>
    </row>
    <row r="510" spans="2:7" customFormat="1" ht="14.25" x14ac:dyDescent="0.2">
      <c r="B510" s="26" t="s">
        <v>625</v>
      </c>
      <c r="E510" s="23">
        <v>4500</v>
      </c>
      <c r="G510" s="3"/>
    </row>
    <row r="511" spans="2:7" customFormat="1" ht="14.25" x14ac:dyDescent="0.2">
      <c r="B511" s="26" t="s">
        <v>626</v>
      </c>
      <c r="E511" s="23">
        <v>5000</v>
      </c>
      <c r="G511" s="3"/>
    </row>
    <row r="512" spans="2:7" customFormat="1" ht="14.25" x14ac:dyDescent="0.2">
      <c r="B512" s="26" t="s">
        <v>627</v>
      </c>
      <c r="E512" s="23">
        <v>6000</v>
      </c>
      <c r="G512" s="3"/>
    </row>
    <row r="513" spans="2:7" customFormat="1" ht="14.25" x14ac:dyDescent="0.2">
      <c r="B513" s="26" t="s">
        <v>628</v>
      </c>
      <c r="E513" s="23">
        <v>7000</v>
      </c>
      <c r="G513" s="3"/>
    </row>
    <row r="514" spans="2:7" customFormat="1" ht="14.25" x14ac:dyDescent="0.2">
      <c r="B514" s="26" t="s">
        <v>629</v>
      </c>
      <c r="E514" s="23">
        <v>8000</v>
      </c>
      <c r="G514" s="3"/>
    </row>
    <row r="515" spans="2:7" customFormat="1" ht="14.25" x14ac:dyDescent="0.2">
      <c r="B515" s="32" t="s">
        <v>22</v>
      </c>
      <c r="E515" s="24"/>
    </row>
    <row r="516" spans="2:7" customFormat="1" ht="14.25" x14ac:dyDescent="0.2">
      <c r="B516" s="26" t="s">
        <v>630</v>
      </c>
      <c r="E516" s="23">
        <v>4000</v>
      </c>
      <c r="G516" s="3"/>
    </row>
    <row r="517" spans="2:7" customFormat="1" ht="14.25" x14ac:dyDescent="0.2">
      <c r="B517" s="26" t="s">
        <v>631</v>
      </c>
      <c r="E517" s="23">
        <v>4500</v>
      </c>
      <c r="G517" s="3"/>
    </row>
    <row r="518" spans="2:7" customFormat="1" ht="14.25" x14ac:dyDescent="0.2">
      <c r="B518" s="26" t="s">
        <v>632</v>
      </c>
      <c r="E518" s="23">
        <v>5000</v>
      </c>
      <c r="G518" s="3"/>
    </row>
    <row r="519" spans="2:7" customFormat="1" ht="14.25" x14ac:dyDescent="0.2">
      <c r="B519" s="26" t="s">
        <v>633</v>
      </c>
      <c r="E519" s="23">
        <v>6000</v>
      </c>
      <c r="G519" s="3"/>
    </row>
    <row r="520" spans="2:7" customFormat="1" ht="14.25" x14ac:dyDescent="0.2">
      <c r="B520" s="26" t="s">
        <v>634</v>
      </c>
      <c r="E520" s="23">
        <v>7000</v>
      </c>
      <c r="G520" s="3"/>
    </row>
    <row r="521" spans="2:7" customFormat="1" ht="14.25" x14ac:dyDescent="0.2">
      <c r="B521" s="26" t="s">
        <v>635</v>
      </c>
      <c r="E521" s="23">
        <v>8000</v>
      </c>
      <c r="G521" s="3"/>
    </row>
    <row r="522" spans="2:7" customFormat="1" ht="14.25" x14ac:dyDescent="0.2">
      <c r="B522" s="26" t="s">
        <v>636</v>
      </c>
      <c r="E522" s="23">
        <v>5000</v>
      </c>
      <c r="G522" s="3"/>
    </row>
    <row r="523" spans="2:7" customFormat="1" ht="14.25" x14ac:dyDescent="0.2">
      <c r="B523" s="26" t="s">
        <v>637</v>
      </c>
      <c r="E523" s="23">
        <v>6000</v>
      </c>
      <c r="G523" s="3"/>
    </row>
    <row r="524" spans="2:7" customFormat="1" ht="14.25" x14ac:dyDescent="0.2">
      <c r="B524" s="26" t="s">
        <v>638</v>
      </c>
      <c r="E524" s="23">
        <v>7000</v>
      </c>
      <c r="G524" s="3"/>
    </row>
    <row r="525" spans="2:7" customFormat="1" ht="14.25" x14ac:dyDescent="0.2">
      <c r="B525" s="26" t="s">
        <v>639</v>
      </c>
      <c r="E525" s="23">
        <v>8000</v>
      </c>
      <c r="G525" s="3"/>
    </row>
    <row r="526" spans="2:7" customFormat="1" ht="14.25" x14ac:dyDescent="0.2">
      <c r="B526" s="26" t="s">
        <v>640</v>
      </c>
      <c r="E526" s="23">
        <v>10000</v>
      </c>
      <c r="G526" s="3"/>
    </row>
    <row r="527" spans="2:7" customFormat="1" ht="14.25" x14ac:dyDescent="0.2">
      <c r="B527" s="26" t="s">
        <v>641</v>
      </c>
      <c r="E527" s="23">
        <v>5000</v>
      </c>
      <c r="G527" s="3"/>
    </row>
    <row r="528" spans="2:7" customFormat="1" ht="14.25" x14ac:dyDescent="0.2">
      <c r="B528" s="26" t="s">
        <v>642</v>
      </c>
      <c r="E528" s="23">
        <v>6000</v>
      </c>
      <c r="G528" s="3"/>
    </row>
    <row r="529" spans="2:7" customFormat="1" ht="14.25" x14ac:dyDescent="0.2">
      <c r="B529" s="26" t="s">
        <v>643</v>
      </c>
      <c r="E529" s="23">
        <v>7000</v>
      </c>
      <c r="G529" s="3"/>
    </row>
    <row r="530" spans="2:7" customFormat="1" ht="14.25" x14ac:dyDescent="0.2">
      <c r="B530" s="26" t="s">
        <v>644</v>
      </c>
      <c r="E530" s="23">
        <v>8000</v>
      </c>
      <c r="G530" s="3"/>
    </row>
    <row r="531" spans="2:7" customFormat="1" ht="14.25" x14ac:dyDescent="0.2">
      <c r="B531" s="26" t="s">
        <v>645</v>
      </c>
      <c r="E531" s="23">
        <v>5000</v>
      </c>
      <c r="G531" s="3"/>
    </row>
    <row r="532" spans="2:7" customFormat="1" ht="14.25" x14ac:dyDescent="0.2">
      <c r="B532" s="26" t="s">
        <v>646</v>
      </c>
      <c r="E532" s="23">
        <v>6000</v>
      </c>
      <c r="G532" s="3"/>
    </row>
    <row r="533" spans="2:7" customFormat="1" ht="14.25" x14ac:dyDescent="0.2">
      <c r="B533" s="26" t="s">
        <v>647</v>
      </c>
      <c r="E533" s="23">
        <v>7000</v>
      </c>
      <c r="G533" s="3"/>
    </row>
    <row r="534" spans="2:7" customFormat="1" ht="14.25" x14ac:dyDescent="0.2">
      <c r="B534" s="26" t="s">
        <v>648</v>
      </c>
      <c r="E534" s="23">
        <v>8000</v>
      </c>
      <c r="G534" s="3"/>
    </row>
    <row r="535" spans="2:7" customFormat="1" ht="14.25" x14ac:dyDescent="0.2">
      <c r="B535" s="26" t="s">
        <v>649</v>
      </c>
      <c r="E535" s="23">
        <v>4000</v>
      </c>
      <c r="G535" s="3"/>
    </row>
    <row r="536" spans="2:7" customFormat="1" ht="14.25" x14ac:dyDescent="0.2">
      <c r="B536" s="26" t="s">
        <v>650</v>
      </c>
      <c r="E536" s="23">
        <v>5000</v>
      </c>
      <c r="G536" s="3"/>
    </row>
    <row r="537" spans="2:7" customFormat="1" ht="14.25" x14ac:dyDescent="0.2">
      <c r="B537" s="26" t="s">
        <v>651</v>
      </c>
      <c r="E537" s="23">
        <v>6000</v>
      </c>
      <c r="G537" s="3"/>
    </row>
    <row r="538" spans="2:7" customFormat="1" ht="14.25" x14ac:dyDescent="0.2">
      <c r="B538" s="26" t="s">
        <v>652</v>
      </c>
      <c r="E538" s="23">
        <v>7000</v>
      </c>
      <c r="G538" s="3"/>
    </row>
    <row r="539" spans="2:7" customFormat="1" ht="14.25" x14ac:dyDescent="0.2">
      <c r="B539" s="26" t="s">
        <v>653</v>
      </c>
      <c r="E539" s="23">
        <v>8000</v>
      </c>
      <c r="G539" s="3"/>
    </row>
    <row r="540" spans="2:7" customFormat="1" ht="14.25" x14ac:dyDescent="0.2">
      <c r="B540" s="26" t="s">
        <v>654</v>
      </c>
      <c r="E540" s="23">
        <v>4000</v>
      </c>
      <c r="G540" s="3"/>
    </row>
    <row r="541" spans="2:7" customFormat="1" ht="14.25" x14ac:dyDescent="0.2">
      <c r="B541" s="26" t="s">
        <v>655</v>
      </c>
      <c r="E541" s="23">
        <v>5000</v>
      </c>
      <c r="G541" s="3"/>
    </row>
    <row r="542" spans="2:7" customFormat="1" ht="14.25" x14ac:dyDescent="0.2">
      <c r="B542" s="26" t="s">
        <v>656</v>
      </c>
      <c r="E542" s="23">
        <v>6000</v>
      </c>
      <c r="G542" s="3"/>
    </row>
    <row r="543" spans="2:7" customFormat="1" ht="14.25" x14ac:dyDescent="0.2">
      <c r="B543" s="26" t="s">
        <v>657</v>
      </c>
      <c r="E543" s="23">
        <v>7000</v>
      </c>
      <c r="G543" s="3"/>
    </row>
    <row r="544" spans="2:7" customFormat="1" ht="14.25" x14ac:dyDescent="0.2">
      <c r="B544" s="26" t="s">
        <v>658</v>
      </c>
      <c r="E544" s="23">
        <v>8000</v>
      </c>
      <c r="G544" s="3"/>
    </row>
    <row r="545" spans="2:7" customFormat="1" ht="14.25" x14ac:dyDescent="0.2">
      <c r="B545" s="26" t="s">
        <v>659</v>
      </c>
      <c r="E545" s="23">
        <v>3000</v>
      </c>
      <c r="G545" s="3"/>
    </row>
    <row r="546" spans="2:7" customFormat="1" ht="14.25" x14ac:dyDescent="0.2">
      <c r="B546" s="26" t="s">
        <v>660</v>
      </c>
      <c r="E546" s="23">
        <v>4000</v>
      </c>
      <c r="G546" s="3"/>
    </row>
    <row r="547" spans="2:7" customFormat="1" ht="14.25" x14ac:dyDescent="0.2">
      <c r="B547" s="26" t="s">
        <v>661</v>
      </c>
      <c r="E547" s="23">
        <v>5000</v>
      </c>
      <c r="G547" s="3"/>
    </row>
    <row r="548" spans="2:7" customFormat="1" ht="14.25" x14ac:dyDescent="0.2">
      <c r="B548" s="26" t="s">
        <v>662</v>
      </c>
      <c r="E548" s="23">
        <v>6000</v>
      </c>
      <c r="G548" s="3"/>
    </row>
    <row r="549" spans="2:7" customFormat="1" ht="14.25" x14ac:dyDescent="0.2">
      <c r="B549" s="26" t="s">
        <v>663</v>
      </c>
      <c r="E549" s="23">
        <v>7000</v>
      </c>
      <c r="G549" s="3"/>
    </row>
    <row r="550" spans="2:7" customFormat="1" ht="14.25" x14ac:dyDescent="0.2">
      <c r="B550" s="26" t="s">
        <v>664</v>
      </c>
      <c r="E550" s="23">
        <v>8000</v>
      </c>
      <c r="G550" s="3"/>
    </row>
    <row r="551" spans="2:7" customFormat="1" ht="14.25" x14ac:dyDescent="0.2">
      <c r="B551" s="26" t="s">
        <v>665</v>
      </c>
      <c r="E551" s="23">
        <v>2000</v>
      </c>
      <c r="G551" s="3"/>
    </row>
    <row r="552" spans="2:7" customFormat="1" ht="14.25" x14ac:dyDescent="0.2">
      <c r="B552" s="26" t="s">
        <v>666</v>
      </c>
      <c r="E552" s="23">
        <v>2500</v>
      </c>
      <c r="G552" s="3"/>
    </row>
    <row r="553" spans="2:7" customFormat="1" ht="14.25" x14ac:dyDescent="0.2">
      <c r="B553" s="26" t="s">
        <v>667</v>
      </c>
      <c r="E553" s="23">
        <v>3000</v>
      </c>
      <c r="G553" s="3"/>
    </row>
    <row r="554" spans="2:7" customFormat="1" ht="14.25" x14ac:dyDescent="0.2">
      <c r="B554" s="26" t="s">
        <v>668</v>
      </c>
      <c r="E554" s="23">
        <v>3500</v>
      </c>
      <c r="G554" s="3"/>
    </row>
    <row r="555" spans="2:7" customFormat="1" ht="14.25" x14ac:dyDescent="0.2">
      <c r="B555" s="26" t="s">
        <v>669</v>
      </c>
      <c r="E555" s="23">
        <v>4000</v>
      </c>
      <c r="G555" s="3"/>
    </row>
    <row r="556" spans="2:7" customFormat="1" ht="14.25" x14ac:dyDescent="0.2">
      <c r="B556" s="26" t="s">
        <v>670</v>
      </c>
      <c r="E556" s="23">
        <v>5000</v>
      </c>
      <c r="G556" s="3"/>
    </row>
    <row r="557" spans="2:7" customFormat="1" ht="14.25" x14ac:dyDescent="0.2">
      <c r="B557" s="26" t="s">
        <v>671</v>
      </c>
      <c r="E557" s="23">
        <v>4000</v>
      </c>
      <c r="G557" s="3"/>
    </row>
    <row r="558" spans="2:7" customFormat="1" ht="14.25" x14ac:dyDescent="0.2">
      <c r="B558" s="26" t="s">
        <v>672</v>
      </c>
      <c r="E558" s="23">
        <v>4500</v>
      </c>
      <c r="G558" s="3"/>
    </row>
    <row r="559" spans="2:7" customFormat="1" ht="14.25" x14ac:dyDescent="0.2">
      <c r="B559" s="26" t="s">
        <v>673</v>
      </c>
      <c r="E559" s="23">
        <v>5000</v>
      </c>
      <c r="G559" s="3"/>
    </row>
    <row r="560" spans="2:7" customFormat="1" ht="14.25" x14ac:dyDescent="0.2">
      <c r="B560" s="26" t="s">
        <v>674</v>
      </c>
      <c r="E560" s="23">
        <v>6000</v>
      </c>
      <c r="G560" s="3"/>
    </row>
    <row r="561" spans="2:7" customFormat="1" ht="14.25" x14ac:dyDescent="0.2">
      <c r="B561" s="26" t="s">
        <v>675</v>
      </c>
      <c r="E561" s="23">
        <v>5000</v>
      </c>
      <c r="G561" s="3"/>
    </row>
    <row r="562" spans="2:7" customFormat="1" ht="14.25" x14ac:dyDescent="0.2">
      <c r="B562" s="26" t="s">
        <v>676</v>
      </c>
      <c r="E562" s="23">
        <v>5500</v>
      </c>
      <c r="G562" s="3"/>
    </row>
    <row r="563" spans="2:7" customFormat="1" ht="14.25" x14ac:dyDescent="0.2">
      <c r="B563" s="26" t="s">
        <v>677</v>
      </c>
      <c r="E563" s="23">
        <v>6000</v>
      </c>
      <c r="G563" s="3"/>
    </row>
    <row r="564" spans="2:7" customFormat="1" ht="14.25" x14ac:dyDescent="0.2">
      <c r="B564" s="26" t="s">
        <v>678</v>
      </c>
      <c r="E564" s="23">
        <v>7000</v>
      </c>
      <c r="G564" s="3"/>
    </row>
    <row r="565" spans="2:7" customFormat="1" ht="14.25" x14ac:dyDescent="0.2">
      <c r="B565" s="26" t="s">
        <v>679</v>
      </c>
      <c r="E565" s="23">
        <v>6000</v>
      </c>
      <c r="G565" s="3"/>
    </row>
    <row r="566" spans="2:7" customFormat="1" ht="14.25" x14ac:dyDescent="0.2">
      <c r="B566" s="26" t="s">
        <v>680</v>
      </c>
      <c r="E566" s="23">
        <v>7000</v>
      </c>
      <c r="G566" s="3"/>
    </row>
    <row r="567" spans="2:7" customFormat="1" ht="14.25" x14ac:dyDescent="0.2">
      <c r="B567" s="26" t="s">
        <v>681</v>
      </c>
      <c r="E567" s="23">
        <v>8000</v>
      </c>
      <c r="G567" s="3"/>
    </row>
    <row r="568" spans="2:7" customFormat="1" ht="14.25" x14ac:dyDescent="0.2">
      <c r="B568" s="33" t="s">
        <v>23</v>
      </c>
      <c r="E568" s="24"/>
    </row>
    <row r="569" spans="2:7" customFormat="1" ht="14.25" x14ac:dyDescent="0.2">
      <c r="B569" s="26" t="s">
        <v>682</v>
      </c>
      <c r="E569" s="23">
        <v>5000</v>
      </c>
      <c r="G569" s="3"/>
    </row>
    <row r="570" spans="2:7" customFormat="1" ht="14.25" x14ac:dyDescent="0.2">
      <c r="B570" s="26" t="s">
        <v>683</v>
      </c>
      <c r="E570" s="23">
        <v>5500</v>
      </c>
      <c r="G570" s="3"/>
    </row>
    <row r="571" spans="2:7" customFormat="1" ht="14.25" x14ac:dyDescent="0.2">
      <c r="B571" s="26" t="s">
        <v>684</v>
      </c>
      <c r="E571" s="23">
        <v>6000</v>
      </c>
      <c r="G571" s="3"/>
    </row>
    <row r="572" spans="2:7" customFormat="1" ht="14.25" x14ac:dyDescent="0.2">
      <c r="B572" s="26" t="s">
        <v>685</v>
      </c>
      <c r="E572" s="23">
        <v>7000</v>
      </c>
      <c r="G572" s="3"/>
    </row>
    <row r="573" spans="2:7" customFormat="1" ht="14.25" x14ac:dyDescent="0.2">
      <c r="B573" s="26" t="s">
        <v>686</v>
      </c>
      <c r="E573" s="23">
        <v>8000</v>
      </c>
      <c r="G573" s="3"/>
    </row>
    <row r="574" spans="2:7" customFormat="1" ht="14.25" x14ac:dyDescent="0.2">
      <c r="B574" s="26" t="s">
        <v>687</v>
      </c>
      <c r="E574" s="23">
        <v>10000</v>
      </c>
      <c r="G574" s="3"/>
    </row>
    <row r="575" spans="2:7" customFormat="1" ht="14.25" x14ac:dyDescent="0.2">
      <c r="B575" s="26" t="s">
        <v>688</v>
      </c>
      <c r="E575" s="23">
        <v>3000</v>
      </c>
      <c r="G575" s="3"/>
    </row>
    <row r="576" spans="2:7" customFormat="1" ht="14.25" x14ac:dyDescent="0.2">
      <c r="B576" s="26" t="s">
        <v>689</v>
      </c>
      <c r="E576" s="23">
        <v>3500</v>
      </c>
      <c r="G576" s="3"/>
    </row>
    <row r="577" spans="2:7" customFormat="1" ht="14.25" x14ac:dyDescent="0.2">
      <c r="B577" s="26" t="s">
        <v>690</v>
      </c>
      <c r="E577" s="23">
        <v>4000</v>
      </c>
      <c r="G577" s="3"/>
    </row>
    <row r="578" spans="2:7" customFormat="1" ht="14.25" x14ac:dyDescent="0.2">
      <c r="B578" s="26" t="s">
        <v>691</v>
      </c>
      <c r="E578" s="23">
        <v>5000</v>
      </c>
      <c r="G578" s="3"/>
    </row>
    <row r="579" spans="2:7" customFormat="1" ht="14.25" x14ac:dyDescent="0.2">
      <c r="B579" s="26" t="s">
        <v>692</v>
      </c>
      <c r="E579" s="23">
        <v>6000</v>
      </c>
      <c r="G579" s="3"/>
    </row>
    <row r="580" spans="2:7" customFormat="1" ht="14.25" x14ac:dyDescent="0.2">
      <c r="B580" s="26" t="s">
        <v>693</v>
      </c>
      <c r="E580" s="23">
        <v>4000</v>
      </c>
      <c r="G580" s="3"/>
    </row>
    <row r="581" spans="2:7" customFormat="1" ht="14.25" x14ac:dyDescent="0.2">
      <c r="B581" s="26" t="s">
        <v>694</v>
      </c>
      <c r="E581" s="23">
        <v>4500</v>
      </c>
      <c r="G581" s="3"/>
    </row>
    <row r="582" spans="2:7" customFormat="1" ht="14.25" x14ac:dyDescent="0.2">
      <c r="B582" s="26" t="s">
        <v>695</v>
      </c>
      <c r="E582" s="23">
        <v>5000</v>
      </c>
      <c r="G582" s="3"/>
    </row>
    <row r="583" spans="2:7" customFormat="1" ht="14.25" x14ac:dyDescent="0.2">
      <c r="B583" s="26" t="s">
        <v>696</v>
      </c>
      <c r="E583" s="23">
        <v>5500</v>
      </c>
      <c r="G583" s="3"/>
    </row>
    <row r="584" spans="2:7" customFormat="1" ht="14.25" x14ac:dyDescent="0.2">
      <c r="B584" s="26" t="s">
        <v>697</v>
      </c>
      <c r="E584" s="23">
        <v>6000</v>
      </c>
      <c r="G584" s="3"/>
    </row>
    <row r="585" spans="2:7" customFormat="1" ht="14.25" x14ac:dyDescent="0.2">
      <c r="B585" s="26" t="s">
        <v>698</v>
      </c>
      <c r="E585" s="23">
        <v>7000</v>
      </c>
      <c r="G585" s="3"/>
    </row>
    <row r="586" spans="2:7" customFormat="1" ht="14.25" x14ac:dyDescent="0.2">
      <c r="B586" s="26" t="s">
        <v>699</v>
      </c>
      <c r="E586" s="23">
        <v>8000</v>
      </c>
      <c r="G586" s="3"/>
    </row>
    <row r="587" spans="2:7" customFormat="1" ht="14.25" x14ac:dyDescent="0.2">
      <c r="B587" s="26" t="s">
        <v>700</v>
      </c>
      <c r="E587" s="23">
        <v>4000</v>
      </c>
      <c r="G587" s="3"/>
    </row>
    <row r="588" spans="2:7" customFormat="1" ht="14.25" x14ac:dyDescent="0.2">
      <c r="B588" s="26" t="s">
        <v>701</v>
      </c>
      <c r="E588" s="23">
        <v>4500</v>
      </c>
      <c r="G588" s="3"/>
    </row>
    <row r="589" spans="2:7" customFormat="1" ht="14.25" x14ac:dyDescent="0.2">
      <c r="B589" s="26" t="s">
        <v>702</v>
      </c>
      <c r="E589" s="23">
        <v>5000</v>
      </c>
      <c r="G589" s="3"/>
    </row>
    <row r="590" spans="2:7" customFormat="1" ht="14.25" x14ac:dyDescent="0.2">
      <c r="B590" s="26" t="s">
        <v>703</v>
      </c>
      <c r="E590" s="23">
        <v>5500</v>
      </c>
      <c r="G590" s="3"/>
    </row>
    <row r="591" spans="2:7" customFormat="1" ht="14.25" x14ac:dyDescent="0.2">
      <c r="B591" s="26" t="s">
        <v>704</v>
      </c>
      <c r="E591" s="23">
        <v>6000</v>
      </c>
      <c r="G591" s="3"/>
    </row>
    <row r="592" spans="2:7" customFormat="1" ht="14.25" x14ac:dyDescent="0.2">
      <c r="B592" s="26" t="s">
        <v>705</v>
      </c>
      <c r="E592" s="23">
        <v>7000</v>
      </c>
      <c r="G592" s="3"/>
    </row>
    <row r="593" spans="2:7" customFormat="1" ht="14.25" x14ac:dyDescent="0.2">
      <c r="B593" s="26" t="s">
        <v>706</v>
      </c>
      <c r="E593" s="23">
        <v>8000</v>
      </c>
      <c r="G593" s="3"/>
    </row>
    <row r="594" spans="2:7" customFormat="1" ht="14.25" x14ac:dyDescent="0.2">
      <c r="B594" s="26" t="s">
        <v>707</v>
      </c>
      <c r="E594" s="23">
        <v>4000</v>
      </c>
      <c r="G594" s="3"/>
    </row>
    <row r="595" spans="2:7" customFormat="1" ht="14.25" x14ac:dyDescent="0.2">
      <c r="B595" s="26" t="s">
        <v>708</v>
      </c>
      <c r="E595" s="23">
        <v>4500</v>
      </c>
      <c r="G595" s="3"/>
    </row>
    <row r="596" spans="2:7" customFormat="1" ht="14.25" x14ac:dyDescent="0.2">
      <c r="B596" s="26" t="s">
        <v>709</v>
      </c>
      <c r="E596" s="23">
        <v>5000</v>
      </c>
      <c r="G596" s="3"/>
    </row>
    <row r="597" spans="2:7" customFormat="1" ht="14.25" x14ac:dyDescent="0.2">
      <c r="B597" s="26" t="s">
        <v>710</v>
      </c>
      <c r="E597" s="23">
        <v>5500</v>
      </c>
      <c r="G597" s="3"/>
    </row>
    <row r="598" spans="2:7" customFormat="1" ht="14.25" x14ac:dyDescent="0.2">
      <c r="B598" s="26" t="s">
        <v>711</v>
      </c>
      <c r="E598" s="23">
        <v>6000</v>
      </c>
      <c r="G598" s="3"/>
    </row>
    <row r="599" spans="2:7" customFormat="1" ht="14.25" x14ac:dyDescent="0.2">
      <c r="B599" s="26" t="s">
        <v>712</v>
      </c>
      <c r="E599" s="23">
        <v>7000</v>
      </c>
      <c r="G599" s="3"/>
    </row>
    <row r="600" spans="2:7" customFormat="1" ht="14.25" x14ac:dyDescent="0.2">
      <c r="B600" s="26" t="s">
        <v>713</v>
      </c>
      <c r="E600" s="23">
        <v>8000</v>
      </c>
      <c r="G600" s="3"/>
    </row>
    <row r="601" spans="2:7" customFormat="1" ht="14.25" x14ac:dyDescent="0.2">
      <c r="B601" s="26" t="s">
        <v>714</v>
      </c>
      <c r="E601" s="23">
        <v>4000</v>
      </c>
      <c r="G601" s="3"/>
    </row>
    <row r="602" spans="2:7" customFormat="1" ht="14.25" x14ac:dyDescent="0.2">
      <c r="B602" s="26" t="s">
        <v>715</v>
      </c>
      <c r="E602" s="23">
        <v>4500</v>
      </c>
      <c r="G602" s="3"/>
    </row>
    <row r="603" spans="2:7" customFormat="1" ht="14.25" x14ac:dyDescent="0.2">
      <c r="B603" s="26" t="s">
        <v>716</v>
      </c>
      <c r="E603" s="23">
        <v>5000</v>
      </c>
      <c r="G603" s="3"/>
    </row>
    <row r="604" spans="2:7" customFormat="1" ht="14.25" x14ac:dyDescent="0.2">
      <c r="B604" s="26" t="s">
        <v>717</v>
      </c>
      <c r="E604" s="23">
        <v>5500</v>
      </c>
      <c r="G604" s="3"/>
    </row>
    <row r="605" spans="2:7" customFormat="1" ht="14.25" x14ac:dyDescent="0.2">
      <c r="B605" s="26" t="s">
        <v>718</v>
      </c>
      <c r="E605" s="23">
        <v>6000</v>
      </c>
      <c r="G605" s="3"/>
    </row>
    <row r="606" spans="2:7" customFormat="1" ht="14.25" x14ac:dyDescent="0.2">
      <c r="B606" s="26" t="s">
        <v>719</v>
      </c>
      <c r="E606" s="23">
        <v>7000</v>
      </c>
      <c r="G606" s="3"/>
    </row>
    <row r="607" spans="2:7" customFormat="1" ht="14.25" x14ac:dyDescent="0.2">
      <c r="B607" s="26" t="s">
        <v>720</v>
      </c>
      <c r="E607" s="23">
        <v>8000</v>
      </c>
      <c r="G607" s="3"/>
    </row>
    <row r="608" spans="2:7" customFormat="1" ht="14.25" x14ac:dyDescent="0.2">
      <c r="B608" s="26" t="s">
        <v>721</v>
      </c>
      <c r="E608" s="23">
        <v>5500</v>
      </c>
      <c r="G608" s="3"/>
    </row>
    <row r="609" spans="2:7" customFormat="1" ht="14.25" x14ac:dyDescent="0.2">
      <c r="B609" s="26" t="s">
        <v>722</v>
      </c>
      <c r="E609" s="23">
        <v>6000</v>
      </c>
      <c r="G609" s="3"/>
    </row>
    <row r="610" spans="2:7" customFormat="1" ht="14.25" x14ac:dyDescent="0.2">
      <c r="B610" s="26" t="s">
        <v>723</v>
      </c>
      <c r="E610" s="23">
        <v>7000</v>
      </c>
      <c r="G610" s="3"/>
    </row>
    <row r="611" spans="2:7" customFormat="1" ht="14.25" x14ac:dyDescent="0.2">
      <c r="B611" s="26" t="s">
        <v>724</v>
      </c>
      <c r="E611" s="23">
        <v>8000</v>
      </c>
      <c r="G611" s="3"/>
    </row>
    <row r="612" spans="2:7" customFormat="1" ht="14.25" x14ac:dyDescent="0.2">
      <c r="B612" s="26" t="s">
        <v>725</v>
      </c>
      <c r="E612" s="23">
        <v>3000</v>
      </c>
      <c r="G612" s="3"/>
    </row>
    <row r="613" spans="2:7" customFormat="1" ht="14.25" x14ac:dyDescent="0.2">
      <c r="B613" s="26" t="s">
        <v>726</v>
      </c>
      <c r="E613" s="23">
        <v>3500</v>
      </c>
      <c r="G613" s="3"/>
    </row>
    <row r="614" spans="2:7" customFormat="1" ht="14.25" x14ac:dyDescent="0.2">
      <c r="B614" s="26" t="s">
        <v>727</v>
      </c>
      <c r="E614" s="23">
        <v>4000</v>
      </c>
      <c r="G614" s="3"/>
    </row>
    <row r="615" spans="2:7" customFormat="1" ht="14.25" x14ac:dyDescent="0.2">
      <c r="B615" s="26" t="s">
        <v>728</v>
      </c>
      <c r="E615" s="23">
        <v>5000</v>
      </c>
      <c r="G615" s="3"/>
    </row>
    <row r="616" spans="2:7" customFormat="1" ht="14.25" x14ac:dyDescent="0.2">
      <c r="B616" s="26" t="s">
        <v>729</v>
      </c>
      <c r="E616" s="23">
        <v>6000</v>
      </c>
      <c r="G616" s="3"/>
    </row>
    <row r="617" spans="2:7" customFormat="1" ht="14.25" x14ac:dyDescent="0.2">
      <c r="B617" s="26" t="s">
        <v>730</v>
      </c>
      <c r="E617" s="23">
        <v>4000</v>
      </c>
      <c r="G617" s="3"/>
    </row>
    <row r="618" spans="2:7" customFormat="1" ht="14.25" x14ac:dyDescent="0.2">
      <c r="B618" s="26" t="s">
        <v>731</v>
      </c>
      <c r="E618" s="23">
        <v>4500</v>
      </c>
      <c r="G618" s="3"/>
    </row>
    <row r="619" spans="2:7" customFormat="1" ht="14.25" x14ac:dyDescent="0.2">
      <c r="B619" s="26" t="s">
        <v>732</v>
      </c>
      <c r="E619" s="23">
        <v>5000</v>
      </c>
      <c r="G619" s="3"/>
    </row>
    <row r="620" spans="2:7" customFormat="1" ht="14.25" x14ac:dyDescent="0.2">
      <c r="B620" s="26" t="s">
        <v>733</v>
      </c>
      <c r="E620" s="23">
        <v>5500</v>
      </c>
      <c r="G620" s="3"/>
    </row>
    <row r="621" spans="2:7" customFormat="1" ht="14.25" x14ac:dyDescent="0.2">
      <c r="B621" s="26" t="s">
        <v>734</v>
      </c>
      <c r="E621" s="23">
        <v>6000</v>
      </c>
      <c r="G621" s="3"/>
    </row>
    <row r="622" spans="2:7" customFormat="1" ht="14.25" x14ac:dyDescent="0.2">
      <c r="B622" s="26" t="s">
        <v>735</v>
      </c>
      <c r="E622" s="23">
        <v>7000</v>
      </c>
      <c r="G622" s="3"/>
    </row>
    <row r="623" spans="2:7" customFormat="1" ht="14.25" x14ac:dyDescent="0.2">
      <c r="B623" s="26" t="s">
        <v>736</v>
      </c>
      <c r="E623" s="23">
        <v>8000</v>
      </c>
      <c r="G623" s="3"/>
    </row>
    <row r="624" spans="2:7" customFormat="1" ht="14.25" x14ac:dyDescent="0.2">
      <c r="B624" s="26" t="s">
        <v>737</v>
      </c>
      <c r="E624" s="23">
        <v>3000</v>
      </c>
      <c r="G624" s="3"/>
    </row>
    <row r="625" spans="2:7" customFormat="1" ht="14.25" x14ac:dyDescent="0.2">
      <c r="B625" s="26" t="s">
        <v>738</v>
      </c>
      <c r="E625" s="23">
        <v>3500</v>
      </c>
      <c r="G625" s="3"/>
    </row>
    <row r="626" spans="2:7" customFormat="1" ht="14.25" x14ac:dyDescent="0.2">
      <c r="B626" s="26" t="s">
        <v>739</v>
      </c>
      <c r="E626" s="23">
        <v>4000</v>
      </c>
      <c r="G626" s="3"/>
    </row>
    <row r="627" spans="2:7" customFormat="1" ht="14.25" x14ac:dyDescent="0.2">
      <c r="B627" s="26" t="s">
        <v>740</v>
      </c>
      <c r="E627" s="23">
        <v>5000</v>
      </c>
      <c r="G627" s="3"/>
    </row>
    <row r="628" spans="2:7" customFormat="1" ht="14.25" x14ac:dyDescent="0.2">
      <c r="B628" s="26" t="s">
        <v>741</v>
      </c>
      <c r="E628" s="23">
        <v>6000</v>
      </c>
      <c r="G628" s="3"/>
    </row>
    <row r="629" spans="2:7" customFormat="1" ht="14.25" x14ac:dyDescent="0.2">
      <c r="B629" s="26" t="s">
        <v>742</v>
      </c>
      <c r="E629" s="23">
        <v>3000</v>
      </c>
      <c r="G629" s="3"/>
    </row>
    <row r="630" spans="2:7" customFormat="1" ht="14.25" x14ac:dyDescent="0.2">
      <c r="B630" s="26" t="s">
        <v>743</v>
      </c>
      <c r="E630" s="23">
        <v>3500</v>
      </c>
      <c r="G630" s="3"/>
    </row>
    <row r="631" spans="2:7" customFormat="1" ht="14.25" x14ac:dyDescent="0.2">
      <c r="B631" s="26" t="s">
        <v>744</v>
      </c>
      <c r="E631" s="23">
        <v>4000</v>
      </c>
      <c r="G631" s="3"/>
    </row>
    <row r="632" spans="2:7" customFormat="1" ht="14.25" x14ac:dyDescent="0.2">
      <c r="B632" s="26" t="s">
        <v>745</v>
      </c>
      <c r="E632" s="23">
        <v>5000</v>
      </c>
      <c r="G632" s="3"/>
    </row>
    <row r="633" spans="2:7" customFormat="1" ht="14.25" x14ac:dyDescent="0.2">
      <c r="B633" s="26" t="s">
        <v>746</v>
      </c>
      <c r="E633" s="23">
        <v>6000</v>
      </c>
      <c r="G633" s="3"/>
    </row>
    <row r="634" spans="2:7" customFormat="1" ht="14.25" x14ac:dyDescent="0.2">
      <c r="B634" s="26" t="s">
        <v>747</v>
      </c>
      <c r="E634" s="23">
        <v>3000</v>
      </c>
      <c r="G634" s="3"/>
    </row>
    <row r="635" spans="2:7" customFormat="1" ht="14.25" x14ac:dyDescent="0.2">
      <c r="B635" s="26" t="s">
        <v>748</v>
      </c>
      <c r="E635" s="23">
        <v>3500</v>
      </c>
      <c r="G635" s="3"/>
    </row>
    <row r="636" spans="2:7" customFormat="1" ht="14.25" x14ac:dyDescent="0.2">
      <c r="B636" s="26" t="s">
        <v>749</v>
      </c>
      <c r="E636" s="23">
        <v>4000</v>
      </c>
      <c r="G636" s="3"/>
    </row>
    <row r="637" spans="2:7" customFormat="1" ht="14.25" x14ac:dyDescent="0.2">
      <c r="B637" s="26" t="s">
        <v>750</v>
      </c>
      <c r="E637" s="23">
        <v>5000</v>
      </c>
      <c r="G637" s="3"/>
    </row>
    <row r="638" spans="2:7" customFormat="1" ht="14.25" x14ac:dyDescent="0.2">
      <c r="B638" s="26" t="s">
        <v>751</v>
      </c>
      <c r="E638" s="23">
        <v>6000</v>
      </c>
      <c r="G638" s="3"/>
    </row>
    <row r="639" spans="2:7" customFormat="1" ht="14.25" x14ac:dyDescent="0.2">
      <c r="B639" s="26" t="s">
        <v>752</v>
      </c>
      <c r="E639" s="23">
        <v>3000</v>
      </c>
      <c r="G639" s="3"/>
    </row>
    <row r="640" spans="2:7" customFormat="1" ht="14.25" x14ac:dyDescent="0.2">
      <c r="B640" s="26" t="s">
        <v>753</v>
      </c>
      <c r="E640" s="23">
        <v>3500</v>
      </c>
      <c r="G640" s="3"/>
    </row>
    <row r="641" spans="2:7" customFormat="1" ht="14.25" x14ac:dyDescent="0.2">
      <c r="B641" s="26" t="s">
        <v>754</v>
      </c>
      <c r="E641" s="23">
        <v>4000</v>
      </c>
      <c r="G641" s="3"/>
    </row>
    <row r="642" spans="2:7" customFormat="1" ht="14.25" x14ac:dyDescent="0.2">
      <c r="B642" s="26" t="s">
        <v>755</v>
      </c>
      <c r="E642" s="23">
        <v>5000</v>
      </c>
      <c r="G642" s="3"/>
    </row>
    <row r="643" spans="2:7" customFormat="1" ht="14.25" x14ac:dyDescent="0.2">
      <c r="B643" s="26" t="s">
        <v>756</v>
      </c>
      <c r="E643" s="23">
        <v>6000</v>
      </c>
      <c r="G643" s="3"/>
    </row>
    <row r="644" spans="2:7" customFormat="1" ht="14.25" x14ac:dyDescent="0.2">
      <c r="B644" s="26" t="s">
        <v>757</v>
      </c>
      <c r="E644" s="23">
        <v>4000</v>
      </c>
      <c r="G644" s="3"/>
    </row>
    <row r="645" spans="2:7" customFormat="1" ht="14.25" x14ac:dyDescent="0.2">
      <c r="B645" s="26" t="s">
        <v>758</v>
      </c>
      <c r="E645" s="23">
        <v>4500</v>
      </c>
      <c r="G645" s="3"/>
    </row>
    <row r="646" spans="2:7" customFormat="1" ht="14.25" x14ac:dyDescent="0.2">
      <c r="B646" s="26" t="s">
        <v>759</v>
      </c>
      <c r="E646" s="23">
        <v>5000</v>
      </c>
      <c r="G646" s="3"/>
    </row>
    <row r="647" spans="2:7" customFormat="1" ht="14.25" x14ac:dyDescent="0.2">
      <c r="B647" s="26" t="s">
        <v>760</v>
      </c>
      <c r="E647" s="23">
        <v>5500</v>
      </c>
      <c r="G647" s="3"/>
    </row>
    <row r="648" spans="2:7" customFormat="1" ht="14.25" x14ac:dyDescent="0.2">
      <c r="B648" s="26" t="s">
        <v>761</v>
      </c>
      <c r="E648" s="23">
        <v>6000</v>
      </c>
      <c r="G648" s="3"/>
    </row>
    <row r="649" spans="2:7" customFormat="1" ht="14.25" x14ac:dyDescent="0.2">
      <c r="B649" s="26" t="s">
        <v>762</v>
      </c>
      <c r="E649" s="23">
        <v>7000</v>
      </c>
      <c r="G649" s="3"/>
    </row>
    <row r="650" spans="2:7" customFormat="1" ht="14.25" x14ac:dyDescent="0.2">
      <c r="B650" s="26" t="s">
        <v>763</v>
      </c>
      <c r="E650" s="23">
        <v>8000</v>
      </c>
      <c r="G650" s="3"/>
    </row>
    <row r="651" spans="2:7" customFormat="1" ht="14.25" x14ac:dyDescent="0.2">
      <c r="B651" s="26" t="s">
        <v>764</v>
      </c>
      <c r="E651" s="23">
        <v>4000</v>
      </c>
      <c r="G651" s="3"/>
    </row>
    <row r="652" spans="2:7" customFormat="1" ht="14.25" x14ac:dyDescent="0.2">
      <c r="B652" s="26" t="s">
        <v>765</v>
      </c>
      <c r="E652" s="23">
        <v>4500</v>
      </c>
      <c r="G652" s="3"/>
    </row>
    <row r="653" spans="2:7" customFormat="1" ht="14.25" x14ac:dyDescent="0.2">
      <c r="B653" s="26" t="s">
        <v>766</v>
      </c>
      <c r="E653" s="23">
        <v>5000</v>
      </c>
      <c r="G653" s="3"/>
    </row>
    <row r="654" spans="2:7" customFormat="1" ht="14.25" x14ac:dyDescent="0.2">
      <c r="B654" s="26" t="s">
        <v>767</v>
      </c>
      <c r="E654" s="23">
        <v>5500</v>
      </c>
      <c r="G654" s="3"/>
    </row>
    <row r="655" spans="2:7" customFormat="1" ht="14.25" x14ac:dyDescent="0.2">
      <c r="B655" s="26" t="s">
        <v>768</v>
      </c>
      <c r="E655" s="23">
        <v>6000</v>
      </c>
      <c r="G655" s="3"/>
    </row>
    <row r="656" spans="2:7" customFormat="1" ht="14.25" x14ac:dyDescent="0.2">
      <c r="B656" s="26" t="s">
        <v>769</v>
      </c>
      <c r="E656" s="23">
        <v>7000</v>
      </c>
      <c r="G656" s="3"/>
    </row>
    <row r="657" spans="2:7" customFormat="1" ht="14.25" x14ac:dyDescent="0.2">
      <c r="B657" s="26" t="s">
        <v>770</v>
      </c>
      <c r="E657" s="23">
        <v>8000</v>
      </c>
      <c r="G657" s="3"/>
    </row>
    <row r="658" spans="2:7" customFormat="1" ht="14.25" x14ac:dyDescent="0.2">
      <c r="B658" s="26" t="s">
        <v>771</v>
      </c>
      <c r="E658" s="23">
        <v>3000</v>
      </c>
      <c r="G658" s="3"/>
    </row>
    <row r="659" spans="2:7" customFormat="1" ht="14.25" x14ac:dyDescent="0.2">
      <c r="B659" s="26" t="s">
        <v>772</v>
      </c>
      <c r="E659" s="23">
        <v>3500</v>
      </c>
      <c r="G659" s="3"/>
    </row>
    <row r="660" spans="2:7" customFormat="1" ht="14.25" x14ac:dyDescent="0.2">
      <c r="B660" s="26" t="s">
        <v>773</v>
      </c>
      <c r="E660" s="23">
        <v>4000</v>
      </c>
      <c r="G660" s="3"/>
    </row>
    <row r="661" spans="2:7" customFormat="1" ht="14.25" x14ac:dyDescent="0.2">
      <c r="B661" s="26" t="s">
        <v>774</v>
      </c>
      <c r="E661" s="23">
        <v>5000</v>
      </c>
      <c r="G661" s="3"/>
    </row>
    <row r="662" spans="2:7" customFormat="1" ht="14.25" x14ac:dyDescent="0.2">
      <c r="B662" s="26" t="s">
        <v>775</v>
      </c>
      <c r="E662" s="23">
        <v>6000</v>
      </c>
      <c r="G662" s="3"/>
    </row>
    <row r="663" spans="2:7" customFormat="1" ht="14.25" x14ac:dyDescent="0.2">
      <c r="B663" s="26" t="s">
        <v>776</v>
      </c>
      <c r="E663" s="23">
        <v>4000</v>
      </c>
      <c r="G663" s="3"/>
    </row>
    <row r="664" spans="2:7" customFormat="1" ht="14.25" x14ac:dyDescent="0.2">
      <c r="B664" s="26" t="s">
        <v>777</v>
      </c>
      <c r="E664" s="23">
        <v>4500</v>
      </c>
      <c r="G664" s="3"/>
    </row>
    <row r="665" spans="2:7" customFormat="1" ht="14.25" x14ac:dyDescent="0.2">
      <c r="B665" s="26" t="s">
        <v>778</v>
      </c>
      <c r="E665" s="23">
        <v>5000</v>
      </c>
      <c r="G665" s="3"/>
    </row>
    <row r="666" spans="2:7" customFormat="1" ht="14.25" x14ac:dyDescent="0.2">
      <c r="B666" s="26" t="s">
        <v>779</v>
      </c>
      <c r="E666" s="23">
        <v>5500</v>
      </c>
      <c r="G666" s="3"/>
    </row>
    <row r="667" spans="2:7" customFormat="1" ht="14.25" x14ac:dyDescent="0.2">
      <c r="B667" s="26" t="s">
        <v>780</v>
      </c>
      <c r="E667" s="23">
        <v>6000</v>
      </c>
      <c r="G667" s="3"/>
    </row>
    <row r="668" spans="2:7" customFormat="1" ht="14.25" x14ac:dyDescent="0.2">
      <c r="B668" s="26" t="s">
        <v>781</v>
      </c>
      <c r="E668" s="23">
        <v>7000</v>
      </c>
      <c r="G668" s="3"/>
    </row>
    <row r="669" spans="2:7" customFormat="1" ht="14.25" x14ac:dyDescent="0.2">
      <c r="B669" s="26" t="s">
        <v>782</v>
      </c>
      <c r="E669" s="23">
        <v>8000</v>
      </c>
      <c r="G669" s="3"/>
    </row>
    <row r="670" spans="2:7" customFormat="1" ht="14.25" x14ac:dyDescent="0.2">
      <c r="B670" s="26" t="s">
        <v>783</v>
      </c>
      <c r="E670" s="23">
        <v>4000</v>
      </c>
      <c r="G670" s="3"/>
    </row>
    <row r="671" spans="2:7" customFormat="1" ht="14.25" x14ac:dyDescent="0.2">
      <c r="B671" s="26" t="s">
        <v>784</v>
      </c>
      <c r="E671" s="23">
        <v>4500</v>
      </c>
      <c r="G671" s="3"/>
    </row>
    <row r="672" spans="2:7" customFormat="1" ht="14.25" x14ac:dyDescent="0.2">
      <c r="B672" s="26" t="s">
        <v>785</v>
      </c>
      <c r="E672" s="23">
        <v>5000</v>
      </c>
      <c r="G672" s="3"/>
    </row>
    <row r="673" spans="2:7" customFormat="1" ht="14.25" x14ac:dyDescent="0.2">
      <c r="B673" s="26" t="s">
        <v>786</v>
      </c>
      <c r="E673" s="23">
        <v>5500</v>
      </c>
      <c r="G673" s="3"/>
    </row>
    <row r="674" spans="2:7" customFormat="1" ht="14.25" x14ac:dyDescent="0.2">
      <c r="B674" s="26" t="s">
        <v>787</v>
      </c>
      <c r="E674" s="23">
        <v>6000</v>
      </c>
      <c r="G674" s="3"/>
    </row>
    <row r="675" spans="2:7" customFormat="1" ht="14.25" x14ac:dyDescent="0.2">
      <c r="B675" s="26" t="s">
        <v>788</v>
      </c>
      <c r="E675" s="23">
        <v>7000</v>
      </c>
      <c r="G675" s="3"/>
    </row>
    <row r="676" spans="2:7" customFormat="1" ht="14.25" x14ac:dyDescent="0.2">
      <c r="B676" s="26" t="s">
        <v>789</v>
      </c>
      <c r="E676" s="23">
        <v>8000</v>
      </c>
      <c r="G676" s="3"/>
    </row>
    <row r="677" spans="2:7" customFormat="1" ht="14.25" x14ac:dyDescent="0.2">
      <c r="B677" s="26" t="s">
        <v>790</v>
      </c>
      <c r="E677" s="23">
        <v>4000</v>
      </c>
      <c r="G677" s="3"/>
    </row>
    <row r="678" spans="2:7" customFormat="1" ht="14.25" x14ac:dyDescent="0.2">
      <c r="B678" s="26" t="s">
        <v>791</v>
      </c>
      <c r="E678" s="23">
        <v>4500</v>
      </c>
      <c r="G678" s="3"/>
    </row>
    <row r="679" spans="2:7" customFormat="1" ht="14.25" x14ac:dyDescent="0.2">
      <c r="B679" s="26" t="s">
        <v>792</v>
      </c>
      <c r="E679" s="23">
        <v>5000</v>
      </c>
      <c r="G679" s="3"/>
    </row>
    <row r="680" spans="2:7" customFormat="1" ht="14.25" x14ac:dyDescent="0.2">
      <c r="B680" s="26" t="s">
        <v>793</v>
      </c>
      <c r="E680" s="23">
        <v>5500</v>
      </c>
      <c r="G680" s="3"/>
    </row>
    <row r="681" spans="2:7" customFormat="1" ht="14.25" x14ac:dyDescent="0.2">
      <c r="B681" s="26" t="s">
        <v>794</v>
      </c>
      <c r="E681" s="23">
        <v>6000</v>
      </c>
      <c r="G681" s="3"/>
    </row>
    <row r="682" spans="2:7" customFormat="1" ht="14.25" x14ac:dyDescent="0.2">
      <c r="B682" s="26" t="s">
        <v>795</v>
      </c>
      <c r="E682" s="23">
        <v>7000</v>
      </c>
      <c r="G682" s="3"/>
    </row>
    <row r="683" spans="2:7" customFormat="1" ht="14.25" x14ac:dyDescent="0.2">
      <c r="B683" s="26" t="s">
        <v>796</v>
      </c>
      <c r="E683" s="23">
        <v>8000</v>
      </c>
      <c r="G683" s="3"/>
    </row>
    <row r="684" spans="2:7" customFormat="1" ht="14.25" x14ac:dyDescent="0.2">
      <c r="B684" s="26" t="s">
        <v>797</v>
      </c>
      <c r="E684" s="23">
        <v>4000</v>
      </c>
      <c r="G684" s="3"/>
    </row>
    <row r="685" spans="2:7" customFormat="1" ht="14.25" x14ac:dyDescent="0.2">
      <c r="B685" s="26" t="s">
        <v>798</v>
      </c>
      <c r="E685" s="23">
        <v>4500</v>
      </c>
      <c r="G685" s="3"/>
    </row>
    <row r="686" spans="2:7" customFormat="1" ht="14.25" x14ac:dyDescent="0.2">
      <c r="B686" s="26" t="s">
        <v>799</v>
      </c>
      <c r="E686" s="23">
        <v>5000</v>
      </c>
      <c r="G686" s="3"/>
    </row>
    <row r="687" spans="2:7" customFormat="1" ht="14.25" x14ac:dyDescent="0.2">
      <c r="B687" s="26" t="s">
        <v>800</v>
      </c>
      <c r="E687" s="23">
        <v>5500</v>
      </c>
      <c r="G687" s="3"/>
    </row>
    <row r="688" spans="2:7" customFormat="1" ht="14.25" x14ac:dyDescent="0.2">
      <c r="B688" s="26" t="s">
        <v>801</v>
      </c>
      <c r="E688" s="23">
        <v>6000</v>
      </c>
      <c r="G688" s="3"/>
    </row>
    <row r="689" spans="2:7" customFormat="1" ht="14.25" x14ac:dyDescent="0.2">
      <c r="B689" s="26" t="s">
        <v>802</v>
      </c>
      <c r="E689" s="23">
        <v>7000</v>
      </c>
      <c r="G689" s="3"/>
    </row>
    <row r="690" spans="2:7" customFormat="1" ht="14.25" x14ac:dyDescent="0.2">
      <c r="B690" s="26" t="s">
        <v>803</v>
      </c>
      <c r="E690" s="23">
        <v>8000</v>
      </c>
      <c r="G690" s="3"/>
    </row>
    <row r="691" spans="2:7" customFormat="1" ht="14.25" x14ac:dyDescent="0.2">
      <c r="B691" s="26" t="s">
        <v>804</v>
      </c>
      <c r="E691" s="23">
        <v>4000</v>
      </c>
      <c r="G691" s="3"/>
    </row>
    <row r="692" spans="2:7" customFormat="1" ht="14.25" x14ac:dyDescent="0.2">
      <c r="B692" s="26" t="s">
        <v>805</v>
      </c>
      <c r="E692" s="23">
        <v>4500</v>
      </c>
      <c r="G692" s="3"/>
    </row>
    <row r="693" spans="2:7" customFormat="1" ht="14.25" x14ac:dyDescent="0.2">
      <c r="B693" s="26" t="s">
        <v>806</v>
      </c>
      <c r="E693" s="23">
        <v>5000</v>
      </c>
      <c r="G693" s="3"/>
    </row>
    <row r="694" spans="2:7" customFormat="1" ht="14.25" x14ac:dyDescent="0.2">
      <c r="B694" s="26" t="s">
        <v>807</v>
      </c>
      <c r="E694" s="23">
        <v>5500</v>
      </c>
      <c r="G694" s="3"/>
    </row>
    <row r="695" spans="2:7" customFormat="1" ht="14.25" x14ac:dyDescent="0.2">
      <c r="B695" s="26" t="s">
        <v>808</v>
      </c>
      <c r="E695" s="23">
        <v>6000</v>
      </c>
      <c r="G695" s="3"/>
    </row>
    <row r="696" spans="2:7" customFormat="1" ht="14.25" x14ac:dyDescent="0.2">
      <c r="B696" s="26" t="s">
        <v>809</v>
      </c>
      <c r="E696" s="23">
        <v>7000</v>
      </c>
      <c r="G696" s="3"/>
    </row>
    <row r="697" spans="2:7" customFormat="1" ht="14.25" x14ac:dyDescent="0.2">
      <c r="B697" s="26" t="s">
        <v>810</v>
      </c>
      <c r="E697" s="23">
        <v>8000</v>
      </c>
      <c r="G697" s="3"/>
    </row>
    <row r="698" spans="2:7" customFormat="1" ht="14.25" x14ac:dyDescent="0.2">
      <c r="B698" s="26" t="s">
        <v>811</v>
      </c>
      <c r="E698" s="23">
        <v>3000</v>
      </c>
      <c r="G698" s="3"/>
    </row>
    <row r="699" spans="2:7" customFormat="1" ht="14.25" x14ac:dyDescent="0.2">
      <c r="B699" s="26" t="s">
        <v>812</v>
      </c>
      <c r="E699" s="23">
        <v>3500</v>
      </c>
      <c r="G699" s="3"/>
    </row>
    <row r="700" spans="2:7" customFormat="1" ht="14.25" x14ac:dyDescent="0.2">
      <c r="B700" s="26" t="s">
        <v>813</v>
      </c>
      <c r="E700" s="23">
        <v>4000</v>
      </c>
      <c r="G700" s="3"/>
    </row>
    <row r="701" spans="2:7" customFormat="1" ht="14.25" x14ac:dyDescent="0.2">
      <c r="B701" s="26" t="s">
        <v>814</v>
      </c>
      <c r="E701" s="23">
        <v>5000</v>
      </c>
      <c r="G701" s="3"/>
    </row>
    <row r="702" spans="2:7" customFormat="1" ht="14.25" x14ac:dyDescent="0.2">
      <c r="B702" s="26" t="s">
        <v>815</v>
      </c>
      <c r="E702" s="23">
        <v>4000</v>
      </c>
      <c r="G702" s="3"/>
    </row>
    <row r="703" spans="2:7" customFormat="1" ht="14.25" x14ac:dyDescent="0.2">
      <c r="B703" s="26" t="s">
        <v>816</v>
      </c>
      <c r="E703" s="23">
        <v>4500</v>
      </c>
      <c r="G703" s="3"/>
    </row>
    <row r="704" spans="2:7" customFormat="1" ht="14.25" x14ac:dyDescent="0.2">
      <c r="B704" s="26" t="s">
        <v>817</v>
      </c>
      <c r="E704" s="23">
        <v>5000</v>
      </c>
      <c r="G704" s="3"/>
    </row>
    <row r="705" spans="2:7" customFormat="1" ht="14.25" x14ac:dyDescent="0.2">
      <c r="B705" s="26" t="s">
        <v>818</v>
      </c>
      <c r="E705" s="23">
        <v>5500</v>
      </c>
      <c r="G705" s="3"/>
    </row>
    <row r="706" spans="2:7" customFormat="1" ht="14.25" x14ac:dyDescent="0.2">
      <c r="B706" s="26" t="s">
        <v>819</v>
      </c>
      <c r="E706" s="23">
        <v>6000</v>
      </c>
      <c r="G706" s="3"/>
    </row>
    <row r="707" spans="2:7" customFormat="1" ht="14.25" x14ac:dyDescent="0.2">
      <c r="B707" s="26" t="s">
        <v>820</v>
      </c>
      <c r="E707" s="23">
        <v>7000</v>
      </c>
      <c r="G707" s="3"/>
    </row>
    <row r="708" spans="2:7" customFormat="1" ht="14.25" x14ac:dyDescent="0.2">
      <c r="B708" s="26" t="s">
        <v>821</v>
      </c>
      <c r="E708" s="23">
        <v>8000</v>
      </c>
      <c r="G708" s="3"/>
    </row>
    <row r="709" spans="2:7" customFormat="1" ht="14.25" x14ac:dyDescent="0.2">
      <c r="B709" s="26" t="s">
        <v>822</v>
      </c>
      <c r="E709" s="23">
        <v>4000</v>
      </c>
      <c r="G709" s="3"/>
    </row>
    <row r="710" spans="2:7" customFormat="1" ht="14.25" x14ac:dyDescent="0.2">
      <c r="B710" s="26" t="s">
        <v>823</v>
      </c>
      <c r="E710" s="23">
        <v>4500</v>
      </c>
      <c r="G710" s="3"/>
    </row>
    <row r="711" spans="2:7" customFormat="1" ht="14.25" x14ac:dyDescent="0.2">
      <c r="B711" s="26" t="s">
        <v>824</v>
      </c>
      <c r="E711" s="23">
        <v>5000</v>
      </c>
      <c r="G711" s="3"/>
    </row>
    <row r="712" spans="2:7" customFormat="1" ht="14.25" x14ac:dyDescent="0.2">
      <c r="B712" s="26" t="s">
        <v>825</v>
      </c>
      <c r="E712" s="23">
        <v>5500</v>
      </c>
      <c r="G712" s="3"/>
    </row>
    <row r="713" spans="2:7" customFormat="1" ht="14.25" x14ac:dyDescent="0.2">
      <c r="B713" s="26" t="s">
        <v>826</v>
      </c>
      <c r="E713" s="23">
        <v>6000</v>
      </c>
      <c r="G713" s="3"/>
    </row>
    <row r="714" spans="2:7" customFormat="1" ht="14.25" x14ac:dyDescent="0.2">
      <c r="B714" s="26" t="s">
        <v>827</v>
      </c>
      <c r="E714" s="23">
        <v>7000</v>
      </c>
      <c r="G714" s="3"/>
    </row>
    <row r="715" spans="2:7" customFormat="1" ht="14.25" x14ac:dyDescent="0.2">
      <c r="B715" s="26" t="s">
        <v>828</v>
      </c>
      <c r="E715" s="23">
        <v>8000</v>
      </c>
      <c r="G715" s="3"/>
    </row>
    <row r="716" spans="2:7" customFormat="1" ht="14.25" x14ac:dyDescent="0.2">
      <c r="B716" s="26" t="s">
        <v>829</v>
      </c>
      <c r="E716" s="23">
        <v>4000</v>
      </c>
      <c r="G716" s="3"/>
    </row>
    <row r="717" spans="2:7" customFormat="1" ht="14.25" x14ac:dyDescent="0.2">
      <c r="B717" s="26" t="s">
        <v>830</v>
      </c>
      <c r="E717" s="23">
        <v>4500</v>
      </c>
      <c r="G717" s="3"/>
    </row>
    <row r="718" spans="2:7" customFormat="1" ht="14.25" x14ac:dyDescent="0.2">
      <c r="B718" s="26" t="s">
        <v>831</v>
      </c>
      <c r="E718" s="23">
        <v>5000</v>
      </c>
      <c r="G718" s="3"/>
    </row>
    <row r="719" spans="2:7" customFormat="1" ht="14.25" x14ac:dyDescent="0.2">
      <c r="B719" s="26" t="s">
        <v>832</v>
      </c>
      <c r="E719" s="23">
        <v>5500</v>
      </c>
      <c r="G719" s="3"/>
    </row>
    <row r="720" spans="2:7" customFormat="1" ht="14.25" x14ac:dyDescent="0.2">
      <c r="B720" s="26" t="s">
        <v>833</v>
      </c>
      <c r="E720" s="23">
        <v>6000</v>
      </c>
      <c r="G720" s="3"/>
    </row>
    <row r="721" spans="2:7" customFormat="1" ht="14.25" x14ac:dyDescent="0.2">
      <c r="B721" s="26" t="s">
        <v>834</v>
      </c>
      <c r="E721" s="23">
        <v>7000</v>
      </c>
      <c r="G721" s="3"/>
    </row>
    <row r="722" spans="2:7" customFormat="1" ht="14.25" x14ac:dyDescent="0.2">
      <c r="B722" s="26" t="s">
        <v>835</v>
      </c>
      <c r="E722" s="23">
        <v>8000</v>
      </c>
      <c r="G722" s="3"/>
    </row>
    <row r="723" spans="2:7" customFormat="1" ht="14.25" x14ac:dyDescent="0.2">
      <c r="B723" s="26" t="s">
        <v>836</v>
      </c>
      <c r="E723" s="23">
        <v>4000</v>
      </c>
      <c r="G723" s="3"/>
    </row>
    <row r="724" spans="2:7" customFormat="1" ht="14.25" x14ac:dyDescent="0.2">
      <c r="B724" s="26" t="s">
        <v>837</v>
      </c>
      <c r="E724" s="23">
        <v>4500</v>
      </c>
      <c r="G724" s="3"/>
    </row>
    <row r="725" spans="2:7" customFormat="1" ht="14.25" x14ac:dyDescent="0.2">
      <c r="B725" s="26" t="s">
        <v>838</v>
      </c>
      <c r="E725" s="23">
        <v>5000</v>
      </c>
      <c r="G725" s="3"/>
    </row>
    <row r="726" spans="2:7" customFormat="1" ht="14.25" x14ac:dyDescent="0.2">
      <c r="B726" s="26" t="s">
        <v>839</v>
      </c>
      <c r="E726" s="23">
        <v>5500</v>
      </c>
      <c r="G726" s="3"/>
    </row>
    <row r="727" spans="2:7" customFormat="1" ht="14.25" x14ac:dyDescent="0.2">
      <c r="B727" s="26" t="s">
        <v>840</v>
      </c>
      <c r="E727" s="23">
        <v>6000</v>
      </c>
      <c r="G727" s="3"/>
    </row>
    <row r="728" spans="2:7" customFormat="1" ht="14.25" x14ac:dyDescent="0.2">
      <c r="B728" s="26" t="s">
        <v>841</v>
      </c>
      <c r="E728" s="23">
        <v>7000</v>
      </c>
      <c r="G728" s="3"/>
    </row>
    <row r="729" spans="2:7" customFormat="1" ht="14.25" x14ac:dyDescent="0.2">
      <c r="B729" s="26" t="s">
        <v>842</v>
      </c>
      <c r="E729" s="23">
        <v>8000</v>
      </c>
      <c r="G729" s="3"/>
    </row>
    <row r="730" spans="2:7" customFormat="1" ht="14.25" x14ac:dyDescent="0.2">
      <c r="B730" s="26" t="s">
        <v>843</v>
      </c>
      <c r="E730" s="23">
        <v>4000</v>
      </c>
      <c r="G730" s="3"/>
    </row>
    <row r="731" spans="2:7" customFormat="1" ht="14.25" x14ac:dyDescent="0.2">
      <c r="B731" s="26" t="s">
        <v>844</v>
      </c>
      <c r="E731" s="23">
        <v>4500</v>
      </c>
      <c r="G731" s="3"/>
    </row>
    <row r="732" spans="2:7" customFormat="1" ht="14.25" x14ac:dyDescent="0.2">
      <c r="B732" s="26" t="s">
        <v>845</v>
      </c>
      <c r="E732" s="23">
        <v>5000</v>
      </c>
      <c r="G732" s="3"/>
    </row>
    <row r="733" spans="2:7" customFormat="1" ht="14.25" x14ac:dyDescent="0.2">
      <c r="B733" s="26" t="s">
        <v>846</v>
      </c>
      <c r="E733" s="23">
        <v>5500</v>
      </c>
      <c r="G733" s="3"/>
    </row>
    <row r="734" spans="2:7" customFormat="1" ht="14.25" x14ac:dyDescent="0.2">
      <c r="B734" s="26" t="s">
        <v>847</v>
      </c>
      <c r="E734" s="23">
        <v>6000</v>
      </c>
      <c r="G734" s="3"/>
    </row>
    <row r="735" spans="2:7" customFormat="1" ht="14.25" x14ac:dyDescent="0.2">
      <c r="B735" s="26" t="s">
        <v>848</v>
      </c>
      <c r="E735" s="23">
        <v>7000</v>
      </c>
      <c r="G735" s="3"/>
    </row>
    <row r="736" spans="2:7" customFormat="1" ht="14.25" x14ac:dyDescent="0.2">
      <c r="B736" s="26" t="s">
        <v>849</v>
      </c>
      <c r="E736" s="23">
        <v>8000</v>
      </c>
      <c r="G736" s="3"/>
    </row>
    <row r="737" spans="2:7" customFormat="1" ht="14.25" x14ac:dyDescent="0.2">
      <c r="B737" s="26" t="s">
        <v>850</v>
      </c>
      <c r="E737" s="23">
        <v>4000</v>
      </c>
      <c r="G737" s="3"/>
    </row>
    <row r="738" spans="2:7" customFormat="1" ht="14.25" x14ac:dyDescent="0.2">
      <c r="B738" s="26" t="s">
        <v>851</v>
      </c>
      <c r="E738" s="23">
        <v>4500</v>
      </c>
      <c r="G738" s="3"/>
    </row>
    <row r="739" spans="2:7" customFormat="1" ht="14.25" x14ac:dyDescent="0.2">
      <c r="B739" s="26" t="s">
        <v>852</v>
      </c>
      <c r="E739" s="23">
        <v>5000</v>
      </c>
      <c r="G739" s="3"/>
    </row>
    <row r="740" spans="2:7" customFormat="1" ht="14.25" x14ac:dyDescent="0.2">
      <c r="B740" s="26" t="s">
        <v>853</v>
      </c>
      <c r="E740" s="23">
        <v>5500</v>
      </c>
      <c r="G740" s="3"/>
    </row>
    <row r="741" spans="2:7" customFormat="1" ht="14.25" x14ac:dyDescent="0.2">
      <c r="B741" s="26" t="s">
        <v>854</v>
      </c>
      <c r="E741" s="23">
        <v>6000</v>
      </c>
      <c r="G741" s="3"/>
    </row>
    <row r="742" spans="2:7" customFormat="1" ht="14.25" x14ac:dyDescent="0.2">
      <c r="B742" s="26" t="s">
        <v>855</v>
      </c>
      <c r="E742" s="23">
        <v>7000</v>
      </c>
      <c r="G742" s="3"/>
    </row>
    <row r="743" spans="2:7" customFormat="1" ht="14.25" x14ac:dyDescent="0.2">
      <c r="B743" s="26" t="s">
        <v>856</v>
      </c>
      <c r="E743" s="23">
        <v>8000</v>
      </c>
      <c r="G743" s="3"/>
    </row>
    <row r="744" spans="2:7" customFormat="1" ht="14.25" x14ac:dyDescent="0.2">
      <c r="B744" s="26" t="s">
        <v>857</v>
      </c>
      <c r="E744" s="23">
        <v>4000</v>
      </c>
      <c r="G744" s="3"/>
    </row>
    <row r="745" spans="2:7" customFormat="1" ht="14.25" x14ac:dyDescent="0.2">
      <c r="B745" s="26" t="s">
        <v>858</v>
      </c>
      <c r="E745" s="23">
        <v>4500</v>
      </c>
      <c r="G745" s="3"/>
    </row>
    <row r="746" spans="2:7" customFormat="1" ht="14.25" x14ac:dyDescent="0.2">
      <c r="B746" s="26" t="s">
        <v>859</v>
      </c>
      <c r="E746" s="23">
        <v>5000</v>
      </c>
      <c r="G746" s="3"/>
    </row>
    <row r="747" spans="2:7" customFormat="1" ht="14.25" x14ac:dyDescent="0.2">
      <c r="B747" s="26" t="s">
        <v>860</v>
      </c>
      <c r="E747" s="23">
        <v>5500</v>
      </c>
      <c r="G747" s="3"/>
    </row>
    <row r="748" spans="2:7" customFormat="1" ht="14.25" x14ac:dyDescent="0.2">
      <c r="B748" s="26" t="s">
        <v>861</v>
      </c>
      <c r="E748" s="23">
        <v>6000</v>
      </c>
      <c r="G748" s="3"/>
    </row>
    <row r="749" spans="2:7" customFormat="1" ht="14.25" x14ac:dyDescent="0.2">
      <c r="B749" s="26" t="s">
        <v>862</v>
      </c>
      <c r="E749" s="23">
        <v>7000</v>
      </c>
      <c r="G749" s="3"/>
    </row>
    <row r="750" spans="2:7" customFormat="1" ht="14.25" x14ac:dyDescent="0.2">
      <c r="B750" s="26" t="s">
        <v>863</v>
      </c>
      <c r="E750" s="23">
        <v>8000</v>
      </c>
      <c r="G750" s="3"/>
    </row>
    <row r="751" spans="2:7" customFormat="1" ht="14.25" x14ac:dyDescent="0.2">
      <c r="B751" s="26" t="s">
        <v>864</v>
      </c>
      <c r="E751" s="23">
        <v>5000</v>
      </c>
      <c r="G751" s="3"/>
    </row>
    <row r="752" spans="2:7" customFormat="1" ht="14.25" x14ac:dyDescent="0.2">
      <c r="B752" s="26" t="s">
        <v>865</v>
      </c>
      <c r="E752" s="23">
        <v>5500</v>
      </c>
      <c r="G752" s="3"/>
    </row>
    <row r="753" spans="2:7" customFormat="1" ht="14.25" x14ac:dyDescent="0.2">
      <c r="B753" s="26" t="s">
        <v>866</v>
      </c>
      <c r="E753" s="23">
        <v>6000</v>
      </c>
      <c r="G753" s="3"/>
    </row>
    <row r="754" spans="2:7" customFormat="1" ht="14.25" x14ac:dyDescent="0.2">
      <c r="B754" s="26" t="s">
        <v>867</v>
      </c>
      <c r="E754" s="23">
        <v>7000</v>
      </c>
      <c r="G754" s="3"/>
    </row>
    <row r="755" spans="2:7" customFormat="1" ht="14.25" x14ac:dyDescent="0.2">
      <c r="B755" s="26" t="s">
        <v>868</v>
      </c>
      <c r="E755" s="23">
        <v>8000</v>
      </c>
      <c r="G755" s="3"/>
    </row>
    <row r="756" spans="2:7" customFormat="1" ht="14.25" x14ac:dyDescent="0.2">
      <c r="B756" s="26" t="s">
        <v>869</v>
      </c>
      <c r="E756" s="23">
        <v>5000</v>
      </c>
      <c r="G756" s="3"/>
    </row>
    <row r="757" spans="2:7" customFormat="1" ht="14.25" x14ac:dyDescent="0.2">
      <c r="B757" s="26" t="s">
        <v>870</v>
      </c>
      <c r="E757" s="23">
        <v>5500</v>
      </c>
      <c r="G757" s="3"/>
    </row>
    <row r="758" spans="2:7" customFormat="1" ht="14.25" x14ac:dyDescent="0.2">
      <c r="B758" s="26" t="s">
        <v>871</v>
      </c>
      <c r="E758" s="23">
        <v>6000</v>
      </c>
      <c r="G758" s="3"/>
    </row>
    <row r="759" spans="2:7" customFormat="1" ht="14.25" x14ac:dyDescent="0.2">
      <c r="B759" s="26" t="s">
        <v>872</v>
      </c>
      <c r="E759" s="23">
        <v>7000</v>
      </c>
      <c r="G759" s="3"/>
    </row>
    <row r="760" spans="2:7" customFormat="1" ht="14.25" x14ac:dyDescent="0.2">
      <c r="B760" s="26" t="s">
        <v>873</v>
      </c>
      <c r="E760" s="23">
        <v>8000</v>
      </c>
      <c r="G760" s="3"/>
    </row>
    <row r="761" spans="2:7" customFormat="1" ht="14.25" x14ac:dyDescent="0.2">
      <c r="B761" s="26" t="s">
        <v>874</v>
      </c>
      <c r="E761" s="23">
        <v>3000</v>
      </c>
      <c r="G761" s="3"/>
    </row>
    <row r="762" spans="2:7" customFormat="1" ht="14.25" x14ac:dyDescent="0.2">
      <c r="B762" s="26" t="s">
        <v>875</v>
      </c>
      <c r="E762" s="23">
        <v>3500</v>
      </c>
      <c r="G762" s="3"/>
    </row>
    <row r="763" spans="2:7" customFormat="1" ht="14.25" x14ac:dyDescent="0.2">
      <c r="B763" s="26" t="s">
        <v>876</v>
      </c>
      <c r="E763" s="23">
        <v>4000</v>
      </c>
      <c r="G763" s="3"/>
    </row>
    <row r="764" spans="2:7" customFormat="1" ht="14.25" x14ac:dyDescent="0.2">
      <c r="B764" s="26" t="s">
        <v>877</v>
      </c>
      <c r="E764" s="23">
        <v>5000</v>
      </c>
      <c r="G764" s="3"/>
    </row>
    <row r="765" spans="2:7" customFormat="1" ht="14.25" x14ac:dyDescent="0.2">
      <c r="B765" s="26" t="s">
        <v>878</v>
      </c>
      <c r="E765" s="23">
        <v>6000</v>
      </c>
      <c r="G765" s="3"/>
    </row>
    <row r="766" spans="2:7" customFormat="1" ht="14.25" x14ac:dyDescent="0.2">
      <c r="B766" s="26" t="s">
        <v>879</v>
      </c>
      <c r="E766" s="23">
        <v>3500</v>
      </c>
      <c r="G766" s="3"/>
    </row>
    <row r="767" spans="2:7" customFormat="1" ht="14.25" x14ac:dyDescent="0.2">
      <c r="B767" s="26" t="s">
        <v>880</v>
      </c>
      <c r="E767" s="23">
        <v>4000</v>
      </c>
      <c r="G767" s="3"/>
    </row>
    <row r="768" spans="2:7" customFormat="1" ht="14.25" x14ac:dyDescent="0.2">
      <c r="B768" s="26" t="s">
        <v>881</v>
      </c>
      <c r="E768" s="23">
        <v>5000</v>
      </c>
      <c r="G768" s="3"/>
    </row>
    <row r="769" spans="2:7" customFormat="1" ht="14.25" x14ac:dyDescent="0.2">
      <c r="B769" s="26" t="s">
        <v>882</v>
      </c>
      <c r="E769" s="23">
        <v>4000</v>
      </c>
      <c r="G769" s="3"/>
    </row>
    <row r="770" spans="2:7" customFormat="1" ht="14.25" x14ac:dyDescent="0.2">
      <c r="B770" s="26" t="s">
        <v>883</v>
      </c>
      <c r="E770" s="23">
        <v>4500</v>
      </c>
      <c r="G770" s="3"/>
    </row>
    <row r="771" spans="2:7" customFormat="1" ht="14.25" x14ac:dyDescent="0.2">
      <c r="B771" s="26" t="s">
        <v>884</v>
      </c>
      <c r="E771" s="23">
        <v>5000</v>
      </c>
      <c r="G771" s="3"/>
    </row>
    <row r="772" spans="2:7" customFormat="1" ht="14.25" x14ac:dyDescent="0.2">
      <c r="B772" s="26" t="s">
        <v>885</v>
      </c>
      <c r="E772" s="23">
        <v>6000</v>
      </c>
      <c r="G772" s="3"/>
    </row>
    <row r="773" spans="2:7" customFormat="1" ht="14.25" x14ac:dyDescent="0.2">
      <c r="B773" s="26" t="s">
        <v>886</v>
      </c>
      <c r="E773" s="23">
        <v>4500</v>
      </c>
      <c r="G773" s="3"/>
    </row>
    <row r="774" spans="2:7" customFormat="1" ht="14.25" x14ac:dyDescent="0.2">
      <c r="B774" s="26" t="s">
        <v>887</v>
      </c>
      <c r="E774" s="23">
        <v>5000</v>
      </c>
      <c r="G774" s="3"/>
    </row>
    <row r="775" spans="2:7" customFormat="1" ht="14.25" x14ac:dyDescent="0.2">
      <c r="B775" s="26" t="s">
        <v>888</v>
      </c>
      <c r="E775" s="23">
        <v>6000</v>
      </c>
      <c r="G775" s="3"/>
    </row>
    <row r="776" spans="2:7" customFormat="1" ht="14.25" x14ac:dyDescent="0.2">
      <c r="B776" s="26" t="s">
        <v>889</v>
      </c>
      <c r="E776" s="23">
        <v>5000</v>
      </c>
      <c r="G776" s="3"/>
    </row>
    <row r="777" spans="2:7" customFormat="1" ht="14.25" x14ac:dyDescent="0.2">
      <c r="B777" s="26" t="s">
        <v>890</v>
      </c>
      <c r="E777" s="23">
        <v>5500</v>
      </c>
      <c r="G777" s="3"/>
    </row>
    <row r="778" spans="2:7" customFormat="1" ht="14.25" x14ac:dyDescent="0.2">
      <c r="B778" s="26" t="s">
        <v>891</v>
      </c>
      <c r="E778" s="23">
        <v>6000</v>
      </c>
      <c r="G778" s="3"/>
    </row>
    <row r="779" spans="2:7" customFormat="1" ht="14.25" x14ac:dyDescent="0.2">
      <c r="B779" s="26" t="s">
        <v>892</v>
      </c>
      <c r="E779" s="23">
        <v>7000</v>
      </c>
      <c r="G779" s="3"/>
    </row>
    <row r="780" spans="2:7" customFormat="1" ht="14.25" x14ac:dyDescent="0.2">
      <c r="B780" s="26" t="s">
        <v>893</v>
      </c>
      <c r="E780" s="23">
        <v>8000</v>
      </c>
      <c r="G780" s="3"/>
    </row>
    <row r="781" spans="2:7" customFormat="1" ht="14.25" x14ac:dyDescent="0.2">
      <c r="B781" s="26" t="s">
        <v>894</v>
      </c>
      <c r="E781" s="37">
        <v>3000</v>
      </c>
      <c r="G781" s="3"/>
    </row>
    <row r="782" spans="2:7" customFormat="1" ht="14.25" x14ac:dyDescent="0.2">
      <c r="B782" s="26" t="s">
        <v>895</v>
      </c>
      <c r="E782" s="23">
        <v>3500</v>
      </c>
      <c r="G782" s="3"/>
    </row>
    <row r="783" spans="2:7" customFormat="1" ht="14.25" x14ac:dyDescent="0.2">
      <c r="B783" s="26" t="s">
        <v>896</v>
      </c>
      <c r="E783" s="23">
        <v>4000</v>
      </c>
      <c r="G783" s="3"/>
    </row>
    <row r="784" spans="2:7" customFormat="1" ht="14.25" x14ac:dyDescent="0.2">
      <c r="B784" s="26" t="s">
        <v>897</v>
      </c>
      <c r="E784" s="23">
        <v>5000</v>
      </c>
      <c r="G784" s="3"/>
    </row>
    <row r="785" spans="2:7" customFormat="1" ht="14.25" x14ac:dyDescent="0.2">
      <c r="B785" s="26" t="s">
        <v>898</v>
      </c>
      <c r="E785" s="23">
        <v>6000</v>
      </c>
      <c r="G785" s="3"/>
    </row>
    <row r="786" spans="2:7" customFormat="1" ht="14.25" x14ac:dyDescent="0.2">
      <c r="B786" s="26" t="s">
        <v>899</v>
      </c>
      <c r="E786" s="23">
        <v>3500</v>
      </c>
      <c r="G786" s="3"/>
    </row>
    <row r="787" spans="2:7" customFormat="1" ht="14.25" x14ac:dyDescent="0.2">
      <c r="B787" s="26" t="s">
        <v>900</v>
      </c>
      <c r="E787" s="23">
        <v>4000</v>
      </c>
      <c r="G787" s="3"/>
    </row>
    <row r="788" spans="2:7" customFormat="1" ht="14.25" x14ac:dyDescent="0.2">
      <c r="B788" s="26" t="s">
        <v>901</v>
      </c>
      <c r="E788" s="23">
        <v>5000</v>
      </c>
      <c r="G788" s="3"/>
    </row>
    <row r="789" spans="2:7" customFormat="1" ht="14.25" x14ac:dyDescent="0.2">
      <c r="B789" s="26" t="s">
        <v>902</v>
      </c>
      <c r="E789" s="23">
        <v>4000</v>
      </c>
      <c r="G789" s="3"/>
    </row>
    <row r="790" spans="2:7" customFormat="1" ht="14.25" x14ac:dyDescent="0.2">
      <c r="B790" s="26" t="s">
        <v>903</v>
      </c>
      <c r="E790" s="23">
        <v>5000</v>
      </c>
      <c r="G790" s="3"/>
    </row>
    <row r="791" spans="2:7" customFormat="1" ht="14.25" x14ac:dyDescent="0.2">
      <c r="B791" s="26" t="s">
        <v>904</v>
      </c>
      <c r="E791" s="23">
        <v>6000</v>
      </c>
      <c r="G791" s="3"/>
    </row>
    <row r="792" spans="2:7" customFormat="1" ht="14.25" x14ac:dyDescent="0.2">
      <c r="B792" s="26" t="s">
        <v>905</v>
      </c>
      <c r="E792" s="23">
        <v>4500</v>
      </c>
      <c r="G792" s="3"/>
    </row>
    <row r="793" spans="2:7" customFormat="1" ht="14.25" x14ac:dyDescent="0.2">
      <c r="B793" s="26" t="s">
        <v>906</v>
      </c>
      <c r="E793" s="23">
        <v>5000</v>
      </c>
      <c r="G793" s="3"/>
    </row>
    <row r="794" spans="2:7" customFormat="1" ht="14.25" x14ac:dyDescent="0.2">
      <c r="B794" s="26" t="s">
        <v>907</v>
      </c>
      <c r="E794" s="23">
        <v>5500</v>
      </c>
      <c r="G794" s="3"/>
    </row>
    <row r="795" spans="2:7" customFormat="1" ht="14.25" x14ac:dyDescent="0.2">
      <c r="B795" s="26" t="s">
        <v>908</v>
      </c>
      <c r="E795" s="23">
        <v>6000</v>
      </c>
      <c r="G795" s="3"/>
    </row>
    <row r="796" spans="2:7" customFormat="1" ht="14.25" x14ac:dyDescent="0.2">
      <c r="B796" s="26" t="s">
        <v>909</v>
      </c>
      <c r="E796" s="23">
        <v>6500</v>
      </c>
      <c r="G796" s="3"/>
    </row>
    <row r="797" spans="2:7" customFormat="1" ht="14.25" x14ac:dyDescent="0.2">
      <c r="B797" s="26" t="s">
        <v>910</v>
      </c>
      <c r="E797" s="23">
        <v>5000</v>
      </c>
      <c r="G797" s="3"/>
    </row>
    <row r="798" spans="2:7" customFormat="1" ht="14.25" x14ac:dyDescent="0.2">
      <c r="B798" s="26" t="s">
        <v>911</v>
      </c>
      <c r="E798" s="23">
        <v>5500</v>
      </c>
      <c r="G798" s="3"/>
    </row>
    <row r="799" spans="2:7" customFormat="1" ht="14.25" x14ac:dyDescent="0.2">
      <c r="B799" s="26" t="s">
        <v>912</v>
      </c>
      <c r="E799" s="23">
        <v>6000</v>
      </c>
      <c r="G799" s="3"/>
    </row>
    <row r="800" spans="2:7" customFormat="1" ht="14.25" x14ac:dyDescent="0.2">
      <c r="B800" s="26" t="s">
        <v>913</v>
      </c>
      <c r="E800" s="23">
        <v>7000</v>
      </c>
      <c r="G800" s="3"/>
    </row>
    <row r="801" spans="2:7" customFormat="1" ht="14.25" x14ac:dyDescent="0.2">
      <c r="B801" s="26" t="s">
        <v>914</v>
      </c>
      <c r="E801" s="23">
        <v>8000</v>
      </c>
      <c r="G801" s="3"/>
    </row>
    <row r="802" spans="2:7" customFormat="1" ht="14.25" x14ac:dyDescent="0.2">
      <c r="B802" s="26" t="s">
        <v>915</v>
      </c>
      <c r="E802" s="23">
        <v>5000</v>
      </c>
      <c r="G802" s="3"/>
    </row>
    <row r="803" spans="2:7" customFormat="1" ht="14.25" x14ac:dyDescent="0.2">
      <c r="B803" s="26" t="s">
        <v>916</v>
      </c>
      <c r="E803" s="23">
        <v>5500</v>
      </c>
      <c r="G803" s="3"/>
    </row>
    <row r="804" spans="2:7" customFormat="1" ht="14.25" x14ac:dyDescent="0.2">
      <c r="B804" s="26" t="s">
        <v>917</v>
      </c>
      <c r="E804" s="23">
        <v>6000</v>
      </c>
      <c r="G804" s="3"/>
    </row>
    <row r="805" spans="2:7" customFormat="1" ht="14.25" x14ac:dyDescent="0.2">
      <c r="B805" s="26" t="s">
        <v>918</v>
      </c>
      <c r="E805" s="23">
        <v>7000</v>
      </c>
      <c r="G805" s="3"/>
    </row>
    <row r="806" spans="2:7" customFormat="1" ht="14.25" x14ac:dyDescent="0.2">
      <c r="B806" s="26" t="s">
        <v>919</v>
      </c>
      <c r="E806" s="23">
        <v>8000</v>
      </c>
      <c r="G806" s="3"/>
    </row>
    <row r="807" spans="2:7" customFormat="1" ht="14.25" x14ac:dyDescent="0.2">
      <c r="B807" s="26" t="s">
        <v>920</v>
      </c>
      <c r="E807" s="23">
        <v>5000</v>
      </c>
      <c r="G807" s="3"/>
    </row>
    <row r="808" spans="2:7" customFormat="1" ht="14.25" x14ac:dyDescent="0.2">
      <c r="B808" s="26" t="s">
        <v>921</v>
      </c>
      <c r="E808" s="23">
        <v>5500</v>
      </c>
      <c r="G808" s="3"/>
    </row>
    <row r="809" spans="2:7" customFormat="1" ht="14.25" x14ac:dyDescent="0.2">
      <c r="B809" s="26" t="s">
        <v>922</v>
      </c>
      <c r="E809" s="23">
        <v>6000</v>
      </c>
      <c r="G809" s="3"/>
    </row>
    <row r="810" spans="2:7" customFormat="1" ht="14.25" x14ac:dyDescent="0.2">
      <c r="B810" s="26" t="s">
        <v>923</v>
      </c>
      <c r="E810" s="23">
        <v>7000</v>
      </c>
      <c r="G810" s="3"/>
    </row>
    <row r="811" spans="2:7" customFormat="1" ht="14.25" x14ac:dyDescent="0.2">
      <c r="B811" s="26" t="s">
        <v>924</v>
      </c>
      <c r="E811" s="23">
        <v>8000</v>
      </c>
      <c r="G811" s="3"/>
    </row>
    <row r="812" spans="2:7" customFormat="1" ht="14.25" x14ac:dyDescent="0.2">
      <c r="B812" s="26" t="s">
        <v>925</v>
      </c>
      <c r="E812" s="23">
        <v>5000</v>
      </c>
      <c r="G812" s="3"/>
    </row>
    <row r="813" spans="2:7" customFormat="1" ht="14.25" x14ac:dyDescent="0.2">
      <c r="B813" s="26" t="s">
        <v>926</v>
      </c>
      <c r="E813" s="23">
        <v>5500</v>
      </c>
      <c r="G813" s="3"/>
    </row>
    <row r="814" spans="2:7" customFormat="1" ht="14.25" x14ac:dyDescent="0.2">
      <c r="B814" s="26" t="s">
        <v>927</v>
      </c>
      <c r="E814" s="23">
        <v>6000</v>
      </c>
      <c r="G814" s="3"/>
    </row>
    <row r="815" spans="2:7" customFormat="1" ht="14.25" x14ac:dyDescent="0.2">
      <c r="B815" s="26" t="s">
        <v>928</v>
      </c>
      <c r="E815" s="23">
        <v>7000</v>
      </c>
      <c r="G815" s="3"/>
    </row>
    <row r="816" spans="2:7" customFormat="1" ht="14.25" x14ac:dyDescent="0.2">
      <c r="B816" s="26" t="s">
        <v>929</v>
      </c>
      <c r="E816" s="23">
        <v>8000</v>
      </c>
      <c r="G816" s="3"/>
    </row>
    <row r="817" spans="2:7" customFormat="1" ht="14.25" x14ac:dyDescent="0.2">
      <c r="B817" s="26" t="s">
        <v>930</v>
      </c>
      <c r="E817" s="23">
        <v>5000</v>
      </c>
      <c r="G817" s="3"/>
    </row>
    <row r="818" spans="2:7" customFormat="1" ht="14.25" x14ac:dyDescent="0.2">
      <c r="B818" s="26" t="s">
        <v>931</v>
      </c>
      <c r="E818" s="23">
        <v>5500</v>
      </c>
      <c r="G818" s="3"/>
    </row>
    <row r="819" spans="2:7" customFormat="1" ht="14.25" x14ac:dyDescent="0.2">
      <c r="B819" s="26" t="s">
        <v>932</v>
      </c>
      <c r="E819" s="23">
        <v>6000</v>
      </c>
      <c r="G819" s="3"/>
    </row>
    <row r="820" spans="2:7" customFormat="1" ht="14.25" x14ac:dyDescent="0.2">
      <c r="B820" s="26" t="s">
        <v>933</v>
      </c>
      <c r="E820" s="23">
        <v>7000</v>
      </c>
      <c r="G820" s="3"/>
    </row>
    <row r="821" spans="2:7" customFormat="1" ht="14.25" x14ac:dyDescent="0.2">
      <c r="B821" s="26" t="s">
        <v>934</v>
      </c>
      <c r="E821" s="23">
        <v>8000</v>
      </c>
      <c r="G821" s="3"/>
    </row>
    <row r="822" spans="2:7" customFormat="1" ht="14.25" x14ac:dyDescent="0.2">
      <c r="B822" s="26" t="s">
        <v>935</v>
      </c>
      <c r="E822" s="23">
        <v>5000</v>
      </c>
      <c r="G822" s="3"/>
    </row>
    <row r="823" spans="2:7" customFormat="1" ht="14.25" x14ac:dyDescent="0.2">
      <c r="B823" s="26" t="s">
        <v>936</v>
      </c>
      <c r="E823" s="23">
        <v>5500</v>
      </c>
      <c r="G823" s="3"/>
    </row>
    <row r="824" spans="2:7" customFormat="1" ht="14.25" x14ac:dyDescent="0.2">
      <c r="B824" s="26" t="s">
        <v>937</v>
      </c>
      <c r="E824" s="23">
        <v>6000</v>
      </c>
      <c r="G824" s="3"/>
    </row>
    <row r="825" spans="2:7" customFormat="1" ht="14.25" x14ac:dyDescent="0.2">
      <c r="B825" s="26" t="s">
        <v>938</v>
      </c>
      <c r="E825" s="23">
        <v>7000</v>
      </c>
      <c r="G825" s="3"/>
    </row>
    <row r="826" spans="2:7" customFormat="1" ht="14.25" x14ac:dyDescent="0.2">
      <c r="B826" s="26" t="s">
        <v>939</v>
      </c>
      <c r="E826" s="23">
        <v>8000</v>
      </c>
      <c r="G826" s="3"/>
    </row>
    <row r="827" spans="2:7" customFormat="1" ht="14.25" x14ac:dyDescent="0.2">
      <c r="B827" s="26" t="s">
        <v>940</v>
      </c>
      <c r="E827" s="23">
        <v>5000</v>
      </c>
      <c r="G827" s="3"/>
    </row>
    <row r="828" spans="2:7" customFormat="1" ht="14.25" x14ac:dyDescent="0.2">
      <c r="B828" s="26" t="s">
        <v>941</v>
      </c>
      <c r="E828" s="23">
        <v>5500</v>
      </c>
      <c r="G828" s="3"/>
    </row>
    <row r="829" spans="2:7" customFormat="1" ht="14.25" x14ac:dyDescent="0.2">
      <c r="B829" s="26" t="s">
        <v>942</v>
      </c>
      <c r="E829" s="23">
        <v>6000</v>
      </c>
      <c r="G829" s="3"/>
    </row>
    <row r="830" spans="2:7" customFormat="1" ht="14.25" x14ac:dyDescent="0.2">
      <c r="B830" s="26" t="s">
        <v>943</v>
      </c>
      <c r="E830" s="23">
        <v>7000</v>
      </c>
      <c r="G830" s="3"/>
    </row>
    <row r="831" spans="2:7" customFormat="1" ht="14.25" x14ac:dyDescent="0.2">
      <c r="B831" s="26" t="s">
        <v>944</v>
      </c>
      <c r="E831" s="23">
        <v>8000</v>
      </c>
      <c r="G831" s="3"/>
    </row>
    <row r="832" spans="2:7" customFormat="1" ht="14.25" x14ac:dyDescent="0.2">
      <c r="B832" s="26" t="s">
        <v>945</v>
      </c>
      <c r="E832" s="37">
        <v>4000</v>
      </c>
      <c r="G832" s="3"/>
    </row>
    <row r="833" spans="2:7" customFormat="1" ht="14.25" x14ac:dyDescent="0.2">
      <c r="B833" s="26" t="s">
        <v>946</v>
      </c>
      <c r="E833" s="23">
        <v>4500</v>
      </c>
      <c r="G833" s="3"/>
    </row>
    <row r="834" spans="2:7" customFormat="1" ht="14.25" x14ac:dyDescent="0.2">
      <c r="B834" s="26" t="s">
        <v>947</v>
      </c>
      <c r="E834" s="23">
        <v>5000</v>
      </c>
      <c r="G834" s="3"/>
    </row>
    <row r="835" spans="2:7" customFormat="1" ht="14.25" x14ac:dyDescent="0.2">
      <c r="B835" s="26" t="s">
        <v>948</v>
      </c>
      <c r="E835" s="23">
        <v>6000</v>
      </c>
      <c r="G835" s="3"/>
    </row>
    <row r="836" spans="2:7" customFormat="1" ht="14.25" x14ac:dyDescent="0.2">
      <c r="B836" s="26" t="s">
        <v>949</v>
      </c>
      <c r="E836" s="23">
        <v>5000</v>
      </c>
      <c r="G836" s="3"/>
    </row>
    <row r="837" spans="2:7" customFormat="1" ht="14.25" x14ac:dyDescent="0.2">
      <c r="B837" s="26" t="s">
        <v>950</v>
      </c>
      <c r="E837" s="23">
        <v>5500</v>
      </c>
      <c r="G837" s="3"/>
    </row>
    <row r="838" spans="2:7" customFormat="1" ht="14.25" x14ac:dyDescent="0.2">
      <c r="B838" s="26" t="s">
        <v>951</v>
      </c>
      <c r="E838" s="23">
        <v>6000</v>
      </c>
      <c r="G838" s="3"/>
    </row>
    <row r="839" spans="2:7" customFormat="1" ht="14.25" x14ac:dyDescent="0.2">
      <c r="B839" s="26" t="s">
        <v>952</v>
      </c>
      <c r="E839" s="23">
        <v>7000</v>
      </c>
      <c r="G839" s="3"/>
    </row>
    <row r="840" spans="2:7" customFormat="1" ht="14.25" x14ac:dyDescent="0.2">
      <c r="B840" s="26" t="s">
        <v>953</v>
      </c>
      <c r="E840" s="23">
        <v>8000</v>
      </c>
      <c r="G840" s="3"/>
    </row>
    <row r="841" spans="2:7" customFormat="1" ht="14.25" x14ac:dyDescent="0.2">
      <c r="B841" s="26" t="s">
        <v>954</v>
      </c>
      <c r="E841" s="37">
        <v>4000</v>
      </c>
      <c r="G841" s="3"/>
    </row>
    <row r="842" spans="2:7" customFormat="1" ht="14.25" x14ac:dyDescent="0.2">
      <c r="B842" s="26" t="s">
        <v>955</v>
      </c>
      <c r="E842" s="23">
        <v>4500</v>
      </c>
      <c r="G842" s="3"/>
    </row>
    <row r="843" spans="2:7" customFormat="1" ht="14.25" x14ac:dyDescent="0.2">
      <c r="B843" s="26" t="s">
        <v>956</v>
      </c>
      <c r="E843" s="23">
        <v>5000</v>
      </c>
      <c r="G843" s="3"/>
    </row>
    <row r="844" spans="2:7" customFormat="1" ht="14.25" x14ac:dyDescent="0.2">
      <c r="B844" s="26" t="s">
        <v>957</v>
      </c>
      <c r="E844" s="23">
        <v>6000</v>
      </c>
      <c r="G844" s="3"/>
    </row>
    <row r="845" spans="2:7" customFormat="1" ht="14.25" x14ac:dyDescent="0.2">
      <c r="B845" s="26" t="s">
        <v>958</v>
      </c>
      <c r="E845" s="23">
        <v>7000</v>
      </c>
      <c r="G845" s="3"/>
    </row>
    <row r="846" spans="2:7" customFormat="1" ht="14.25" x14ac:dyDescent="0.2">
      <c r="B846" s="26" t="s">
        <v>959</v>
      </c>
      <c r="E846" s="23">
        <v>8000</v>
      </c>
      <c r="G846" s="3"/>
    </row>
    <row r="847" spans="2:7" customFormat="1" ht="14.25" x14ac:dyDescent="0.2">
      <c r="B847" s="26" t="s">
        <v>960</v>
      </c>
      <c r="E847" s="23">
        <v>6000</v>
      </c>
      <c r="G847" s="3"/>
    </row>
    <row r="848" spans="2:7" customFormat="1" ht="14.25" x14ac:dyDescent="0.2">
      <c r="B848" s="26" t="s">
        <v>961</v>
      </c>
      <c r="E848" s="23">
        <v>7000</v>
      </c>
      <c r="G848" s="3"/>
    </row>
    <row r="849" spans="2:7" customFormat="1" ht="14.25" x14ac:dyDescent="0.2">
      <c r="B849" s="26" t="s">
        <v>962</v>
      </c>
      <c r="E849" s="23">
        <v>8000</v>
      </c>
      <c r="G849" s="3"/>
    </row>
    <row r="850" spans="2:7" customFormat="1" ht="14.25" x14ac:dyDescent="0.2">
      <c r="B850" s="26" t="s">
        <v>963</v>
      </c>
      <c r="E850" s="23">
        <v>6000</v>
      </c>
      <c r="G850" s="3"/>
    </row>
    <row r="851" spans="2:7" customFormat="1" ht="14.25" x14ac:dyDescent="0.2">
      <c r="B851" s="26" t="s">
        <v>964</v>
      </c>
      <c r="E851" s="23">
        <v>7000</v>
      </c>
      <c r="G851" s="3"/>
    </row>
    <row r="852" spans="2:7" customFormat="1" ht="14.25" x14ac:dyDescent="0.2">
      <c r="B852" s="26" t="s">
        <v>965</v>
      </c>
      <c r="E852" s="23">
        <v>8000</v>
      </c>
      <c r="G852" s="3"/>
    </row>
    <row r="853" spans="2:7" customFormat="1" ht="14.25" x14ac:dyDescent="0.2">
      <c r="B853" s="26" t="s">
        <v>966</v>
      </c>
      <c r="E853" s="23">
        <v>3000</v>
      </c>
      <c r="G853" s="3"/>
    </row>
    <row r="854" spans="2:7" customFormat="1" ht="14.25" x14ac:dyDescent="0.2">
      <c r="B854" s="26" t="s">
        <v>967</v>
      </c>
      <c r="E854" s="23">
        <v>3500</v>
      </c>
      <c r="G854" s="3"/>
    </row>
    <row r="855" spans="2:7" customFormat="1" ht="14.25" x14ac:dyDescent="0.2">
      <c r="B855" s="26" t="s">
        <v>968</v>
      </c>
      <c r="E855" s="23">
        <v>4000</v>
      </c>
      <c r="G855" s="3"/>
    </row>
    <row r="856" spans="2:7" customFormat="1" ht="14.25" x14ac:dyDescent="0.2">
      <c r="B856" s="26" t="s">
        <v>969</v>
      </c>
      <c r="E856" s="23">
        <v>5000</v>
      </c>
      <c r="G856" s="3"/>
    </row>
    <row r="857" spans="2:7" customFormat="1" ht="14.25" x14ac:dyDescent="0.2">
      <c r="B857" s="26" t="s">
        <v>970</v>
      </c>
      <c r="E857" s="23">
        <v>3000</v>
      </c>
      <c r="G857" s="3"/>
    </row>
    <row r="858" spans="2:7" customFormat="1" ht="14.25" x14ac:dyDescent="0.2">
      <c r="B858" s="26" t="s">
        <v>971</v>
      </c>
      <c r="E858" s="23">
        <v>3500</v>
      </c>
      <c r="G858" s="3"/>
    </row>
    <row r="859" spans="2:7" customFormat="1" ht="14.25" x14ac:dyDescent="0.2">
      <c r="B859" s="26" t="s">
        <v>972</v>
      </c>
      <c r="E859" s="23">
        <v>4000</v>
      </c>
      <c r="G859" s="3"/>
    </row>
    <row r="860" spans="2:7" customFormat="1" ht="14.25" x14ac:dyDescent="0.2">
      <c r="B860" s="26" t="s">
        <v>973</v>
      </c>
      <c r="E860" s="23">
        <v>5000</v>
      </c>
      <c r="G860" s="3"/>
    </row>
    <row r="861" spans="2:7" customFormat="1" ht="14.25" x14ac:dyDescent="0.2">
      <c r="B861" s="26" t="s">
        <v>974</v>
      </c>
      <c r="E861" s="37">
        <v>4000</v>
      </c>
      <c r="G861" s="3"/>
    </row>
    <row r="862" spans="2:7" customFormat="1" ht="14.25" x14ac:dyDescent="0.2">
      <c r="B862" s="26" t="s">
        <v>975</v>
      </c>
      <c r="E862" s="23">
        <v>4500</v>
      </c>
      <c r="G862" s="3"/>
    </row>
    <row r="863" spans="2:7" customFormat="1" ht="14.25" x14ac:dyDescent="0.2">
      <c r="B863" s="26" t="s">
        <v>976</v>
      </c>
      <c r="E863" s="23">
        <v>5000</v>
      </c>
      <c r="G863" s="3"/>
    </row>
    <row r="864" spans="2:7" customFormat="1" ht="14.25" x14ac:dyDescent="0.2">
      <c r="B864" s="26" t="s">
        <v>977</v>
      </c>
      <c r="E864" s="23">
        <v>6000</v>
      </c>
      <c r="G864" s="3"/>
    </row>
    <row r="865" spans="2:7" customFormat="1" ht="14.25" x14ac:dyDescent="0.2">
      <c r="B865" s="26" t="s">
        <v>978</v>
      </c>
      <c r="E865" s="23">
        <v>3000</v>
      </c>
      <c r="G865" s="3"/>
    </row>
    <row r="866" spans="2:7" customFormat="1" ht="14.25" x14ac:dyDescent="0.2">
      <c r="B866" s="26" t="s">
        <v>979</v>
      </c>
      <c r="E866" s="23">
        <v>3500</v>
      </c>
      <c r="G866" s="3"/>
    </row>
    <row r="867" spans="2:7" customFormat="1" ht="14.25" x14ac:dyDescent="0.2">
      <c r="B867" s="26" t="s">
        <v>980</v>
      </c>
      <c r="E867" s="23">
        <v>4000</v>
      </c>
      <c r="G867" s="3"/>
    </row>
    <row r="868" spans="2:7" customFormat="1" ht="14.25" x14ac:dyDescent="0.2">
      <c r="B868" s="26" t="s">
        <v>981</v>
      </c>
      <c r="E868" s="23">
        <v>5000</v>
      </c>
      <c r="G868" s="3"/>
    </row>
    <row r="869" spans="2:7" customFormat="1" ht="14.25" x14ac:dyDescent="0.2">
      <c r="B869" s="26" t="s">
        <v>982</v>
      </c>
      <c r="E869" s="23">
        <v>6000</v>
      </c>
      <c r="G869" s="3"/>
    </row>
    <row r="870" spans="2:7" customFormat="1" ht="14.25" x14ac:dyDescent="0.2">
      <c r="B870" s="26" t="s">
        <v>983</v>
      </c>
      <c r="E870" s="23">
        <v>7000</v>
      </c>
      <c r="G870" s="3"/>
    </row>
    <row r="871" spans="2:7" customFormat="1" ht="14.25" x14ac:dyDescent="0.2">
      <c r="B871" s="26" t="s">
        <v>984</v>
      </c>
      <c r="E871" s="23">
        <v>8000</v>
      </c>
      <c r="G871" s="3"/>
    </row>
    <row r="872" spans="2:7" customFormat="1" ht="14.25" x14ac:dyDescent="0.2">
      <c r="B872" s="26" t="s">
        <v>985</v>
      </c>
      <c r="E872" s="37">
        <v>4000</v>
      </c>
      <c r="G872" s="3"/>
    </row>
    <row r="873" spans="2:7" customFormat="1" ht="14.25" x14ac:dyDescent="0.2">
      <c r="B873" s="26" t="s">
        <v>986</v>
      </c>
      <c r="E873" s="23">
        <v>4500</v>
      </c>
      <c r="G873" s="3"/>
    </row>
    <row r="874" spans="2:7" customFormat="1" ht="14.25" x14ac:dyDescent="0.2">
      <c r="B874" s="26" t="s">
        <v>987</v>
      </c>
      <c r="E874" s="23">
        <v>5000</v>
      </c>
      <c r="G874" s="3"/>
    </row>
    <row r="875" spans="2:7" customFormat="1" ht="14.25" x14ac:dyDescent="0.2">
      <c r="B875" s="26" t="s">
        <v>988</v>
      </c>
      <c r="E875" s="23">
        <v>6000</v>
      </c>
      <c r="G875" s="3"/>
    </row>
    <row r="876" spans="2:7" customFormat="1" ht="15" customHeight="1" x14ac:dyDescent="0.2">
      <c r="B876" s="31" t="s">
        <v>24</v>
      </c>
      <c r="E876" s="24"/>
    </row>
    <row r="877" spans="2:7" customFormat="1" ht="14.25" x14ac:dyDescent="0.2">
      <c r="B877" s="26" t="s">
        <v>989</v>
      </c>
      <c r="E877" s="24">
        <v>1000</v>
      </c>
      <c r="G877" s="3"/>
    </row>
    <row r="878" spans="2:7" customFormat="1" ht="14.25" x14ac:dyDescent="0.2">
      <c r="B878" s="26" t="s">
        <v>990</v>
      </c>
      <c r="E878" s="24">
        <v>1500</v>
      </c>
      <c r="G878" s="3"/>
    </row>
    <row r="879" spans="2:7" customFormat="1" ht="14.25" x14ac:dyDescent="0.2">
      <c r="B879" s="26" t="s">
        <v>991</v>
      </c>
      <c r="E879" s="24">
        <v>1500</v>
      </c>
      <c r="G879" s="3"/>
    </row>
    <row r="880" spans="2:7" customFormat="1" ht="14.25" x14ac:dyDescent="0.2">
      <c r="B880" s="26" t="s">
        <v>992</v>
      </c>
      <c r="E880" s="24">
        <v>2000</v>
      </c>
      <c r="G880" s="3"/>
    </row>
    <row r="881" spans="2:7" customFormat="1" ht="14.25" x14ac:dyDescent="0.2">
      <c r="B881" s="26" t="s">
        <v>993</v>
      </c>
      <c r="E881" s="24">
        <v>2500</v>
      </c>
      <c r="G881" s="3"/>
    </row>
    <row r="882" spans="2:7" customFormat="1" ht="14.25" x14ac:dyDescent="0.2">
      <c r="B882" s="26" t="s">
        <v>994</v>
      </c>
      <c r="E882" s="24">
        <v>3000</v>
      </c>
      <c r="G882" s="3"/>
    </row>
    <row r="883" spans="2:7" customFormat="1" ht="14.25" x14ac:dyDescent="0.2">
      <c r="B883" s="26" t="s">
        <v>995</v>
      </c>
      <c r="E883" s="24">
        <v>3500</v>
      </c>
      <c r="G883" s="3"/>
    </row>
    <row r="884" spans="2:7" customFormat="1" ht="14.25" x14ac:dyDescent="0.2">
      <c r="B884" s="26" t="s">
        <v>996</v>
      </c>
      <c r="E884" s="24">
        <v>4000</v>
      </c>
      <c r="G884" s="3"/>
    </row>
    <row r="885" spans="2:7" customFormat="1" ht="14.25" x14ac:dyDescent="0.2">
      <c r="B885" s="26" t="s">
        <v>997</v>
      </c>
      <c r="E885" s="24">
        <v>2000</v>
      </c>
      <c r="G885" s="3"/>
    </row>
    <row r="886" spans="2:7" customFormat="1" ht="14.25" x14ac:dyDescent="0.2">
      <c r="B886" s="26" t="s">
        <v>998</v>
      </c>
      <c r="E886" s="24">
        <v>2500</v>
      </c>
      <c r="G886" s="3"/>
    </row>
    <row r="887" spans="2:7" customFormat="1" ht="14.25" x14ac:dyDescent="0.2">
      <c r="B887" s="26" t="s">
        <v>999</v>
      </c>
      <c r="E887" s="24">
        <v>3000</v>
      </c>
      <c r="G887" s="3"/>
    </row>
    <row r="888" spans="2:7" customFormat="1" ht="14.25" x14ac:dyDescent="0.2">
      <c r="B888" s="26" t="s">
        <v>1000</v>
      </c>
      <c r="E888" s="24">
        <v>4000</v>
      </c>
      <c r="G888" s="3"/>
    </row>
    <row r="889" spans="2:7" customFormat="1" ht="14.25" x14ac:dyDescent="0.2">
      <c r="B889" s="26" t="s">
        <v>1001</v>
      </c>
      <c r="E889" s="24">
        <v>4500</v>
      </c>
      <c r="G889" s="3"/>
    </row>
    <row r="890" spans="2:7" customFormat="1" ht="14.25" x14ac:dyDescent="0.2">
      <c r="B890" s="26" t="s">
        <v>1002</v>
      </c>
      <c r="E890" s="24">
        <v>5000</v>
      </c>
      <c r="G890" s="3"/>
    </row>
    <row r="891" spans="2:7" customFormat="1" ht="14.25" x14ac:dyDescent="0.2">
      <c r="B891" s="26" t="s">
        <v>1003</v>
      </c>
      <c r="E891" s="38">
        <v>2000</v>
      </c>
      <c r="G891" s="3"/>
    </row>
    <row r="892" spans="2:7" customFormat="1" ht="14.25" x14ac:dyDescent="0.2">
      <c r="B892" s="26" t="s">
        <v>1004</v>
      </c>
      <c r="E892" s="38">
        <v>2500</v>
      </c>
      <c r="G892" s="3"/>
    </row>
    <row r="893" spans="2:7" customFormat="1" ht="14.25" x14ac:dyDescent="0.2">
      <c r="B893" s="31" t="s">
        <v>25</v>
      </c>
      <c r="E893" s="24"/>
    </row>
    <row r="894" spans="2:7" customFormat="1" ht="15.6" customHeight="1" x14ac:dyDescent="0.2">
      <c r="B894" s="27" t="s">
        <v>26</v>
      </c>
      <c r="E894" s="24"/>
    </row>
    <row r="895" spans="2:7" customFormat="1" ht="14.25" x14ac:dyDescent="0.2">
      <c r="B895" s="26" t="s">
        <v>1005</v>
      </c>
      <c r="E895" s="23">
        <v>3000</v>
      </c>
      <c r="G895" s="3"/>
    </row>
    <row r="896" spans="2:7" customFormat="1" ht="14.25" x14ac:dyDescent="0.2">
      <c r="B896" s="26" t="s">
        <v>1006</v>
      </c>
      <c r="E896" s="23">
        <v>3500</v>
      </c>
      <c r="G896" s="3"/>
    </row>
    <row r="897" spans="2:7" customFormat="1" ht="14.25" x14ac:dyDescent="0.2">
      <c r="B897" s="26" t="s">
        <v>1007</v>
      </c>
      <c r="E897" s="23">
        <v>4000</v>
      </c>
      <c r="G897" s="3"/>
    </row>
    <row r="898" spans="2:7" customFormat="1" ht="14.25" x14ac:dyDescent="0.2">
      <c r="B898" s="26" t="s">
        <v>1008</v>
      </c>
      <c r="E898" s="23">
        <v>4500</v>
      </c>
      <c r="G898" s="3"/>
    </row>
    <row r="899" spans="2:7" customFormat="1" ht="14.25" x14ac:dyDescent="0.2">
      <c r="B899" s="26" t="s">
        <v>1009</v>
      </c>
      <c r="E899" s="23">
        <v>5000</v>
      </c>
      <c r="G899" s="3"/>
    </row>
    <row r="900" spans="2:7" customFormat="1" ht="14.25" x14ac:dyDescent="0.2">
      <c r="B900" s="26" t="s">
        <v>1010</v>
      </c>
      <c r="E900" s="23">
        <v>4000</v>
      </c>
      <c r="G900" s="3"/>
    </row>
    <row r="901" spans="2:7" customFormat="1" ht="14.25" x14ac:dyDescent="0.2">
      <c r="B901" s="26" t="s">
        <v>1011</v>
      </c>
      <c r="E901" s="23">
        <v>4500</v>
      </c>
      <c r="G901" s="3"/>
    </row>
    <row r="902" spans="2:7" customFormat="1" ht="14.25" x14ac:dyDescent="0.2">
      <c r="B902" s="26" t="s">
        <v>1012</v>
      </c>
      <c r="E902" s="23">
        <v>5000</v>
      </c>
      <c r="G902" s="3"/>
    </row>
    <row r="903" spans="2:7" customFormat="1" ht="14.25" x14ac:dyDescent="0.2">
      <c r="B903" s="26" t="s">
        <v>1013</v>
      </c>
      <c r="E903" s="23">
        <v>6000</v>
      </c>
      <c r="G903" s="3"/>
    </row>
    <row r="904" spans="2:7" customFormat="1" ht="14.25" x14ac:dyDescent="0.2">
      <c r="B904" s="26" t="s">
        <v>1014</v>
      </c>
      <c r="E904" s="37">
        <v>5000</v>
      </c>
      <c r="G904" s="3"/>
    </row>
    <row r="905" spans="2:7" customFormat="1" ht="14.25" x14ac:dyDescent="0.2">
      <c r="B905" s="26" t="s">
        <v>1015</v>
      </c>
      <c r="E905" s="23">
        <v>5500</v>
      </c>
      <c r="G905" s="3"/>
    </row>
    <row r="906" spans="2:7" customFormat="1" ht="14.25" x14ac:dyDescent="0.2">
      <c r="B906" s="26" t="s">
        <v>1016</v>
      </c>
      <c r="E906" s="23">
        <v>6000</v>
      </c>
      <c r="G906" s="3"/>
    </row>
    <row r="907" spans="2:7" customFormat="1" ht="14.25" x14ac:dyDescent="0.2">
      <c r="B907" s="26" t="s">
        <v>1017</v>
      </c>
      <c r="E907" s="23">
        <v>7000</v>
      </c>
      <c r="G907" s="3"/>
    </row>
    <row r="908" spans="2:7" customFormat="1" ht="14.25" x14ac:dyDescent="0.2">
      <c r="B908" s="26" t="s">
        <v>1018</v>
      </c>
      <c r="E908" s="37">
        <v>6000</v>
      </c>
      <c r="G908" s="3"/>
    </row>
    <row r="909" spans="2:7" customFormat="1" ht="14.25" x14ac:dyDescent="0.2">
      <c r="B909" s="26" t="s">
        <v>1019</v>
      </c>
      <c r="E909" s="23">
        <v>6500</v>
      </c>
      <c r="G909" s="3"/>
    </row>
    <row r="910" spans="2:7" customFormat="1" ht="14.25" x14ac:dyDescent="0.2">
      <c r="B910" s="26" t="s">
        <v>1020</v>
      </c>
      <c r="E910" s="23">
        <v>7000</v>
      </c>
      <c r="G910" s="3"/>
    </row>
    <row r="911" spans="2:7" customFormat="1" ht="14.25" x14ac:dyDescent="0.2">
      <c r="B911" s="26" t="s">
        <v>1021</v>
      </c>
      <c r="E911" s="23">
        <v>8000</v>
      </c>
      <c r="G911" s="3"/>
    </row>
    <row r="912" spans="2:7" customFormat="1" ht="14.25" x14ac:dyDescent="0.2">
      <c r="B912" s="26" t="s">
        <v>1022</v>
      </c>
      <c r="E912" s="23">
        <v>10000</v>
      </c>
      <c r="G912" s="3"/>
    </row>
    <row r="913" spans="2:7" customFormat="1" ht="14.25" x14ac:dyDescent="0.2">
      <c r="B913" s="27" t="s">
        <v>27</v>
      </c>
      <c r="E913" s="23"/>
    </row>
    <row r="914" spans="2:7" customFormat="1" ht="14.25" x14ac:dyDescent="0.2">
      <c r="B914" s="26" t="s">
        <v>1023</v>
      </c>
      <c r="E914" s="23">
        <v>4000</v>
      </c>
      <c r="G914" s="3"/>
    </row>
    <row r="915" spans="2:7" customFormat="1" ht="14.25" x14ac:dyDescent="0.2">
      <c r="B915" s="26" t="s">
        <v>1024</v>
      </c>
      <c r="E915" s="23">
        <v>4500</v>
      </c>
      <c r="G915" s="3"/>
    </row>
    <row r="916" spans="2:7" customFormat="1" ht="14.25" x14ac:dyDescent="0.2">
      <c r="B916" s="26" t="s">
        <v>1025</v>
      </c>
      <c r="E916" s="23">
        <v>5000</v>
      </c>
      <c r="G916" s="3"/>
    </row>
    <row r="917" spans="2:7" customFormat="1" ht="14.25" x14ac:dyDescent="0.2">
      <c r="B917" s="26" t="s">
        <v>1026</v>
      </c>
      <c r="E917" s="23">
        <v>6000</v>
      </c>
      <c r="G917" s="3"/>
    </row>
    <row r="918" spans="2:7" customFormat="1" ht="14.25" x14ac:dyDescent="0.2">
      <c r="B918" s="26" t="s">
        <v>1027</v>
      </c>
      <c r="E918" s="37">
        <v>5000</v>
      </c>
      <c r="G918" s="3"/>
    </row>
    <row r="919" spans="2:7" customFormat="1" ht="14.25" x14ac:dyDescent="0.2">
      <c r="B919" s="26" t="s">
        <v>1028</v>
      </c>
      <c r="E919" s="23">
        <v>5500</v>
      </c>
      <c r="G919" s="3"/>
    </row>
    <row r="920" spans="2:7" customFormat="1" ht="14.25" x14ac:dyDescent="0.2">
      <c r="B920" s="26" t="s">
        <v>1029</v>
      </c>
      <c r="E920" s="23">
        <v>6000</v>
      </c>
      <c r="G920" s="3"/>
    </row>
    <row r="921" spans="2:7" customFormat="1" ht="14.25" x14ac:dyDescent="0.2">
      <c r="B921" s="26" t="s">
        <v>1030</v>
      </c>
      <c r="E921" s="23">
        <v>7000</v>
      </c>
      <c r="G921" s="3"/>
    </row>
    <row r="922" spans="2:7" customFormat="1" ht="14.25" x14ac:dyDescent="0.2">
      <c r="B922" s="26" t="s">
        <v>1031</v>
      </c>
      <c r="E922" s="37">
        <v>6000</v>
      </c>
      <c r="G922" s="3"/>
    </row>
    <row r="923" spans="2:7" customFormat="1" ht="14.25" x14ac:dyDescent="0.2">
      <c r="B923" s="26" t="s">
        <v>1032</v>
      </c>
      <c r="E923" s="23">
        <v>6500</v>
      </c>
      <c r="G923" s="3"/>
    </row>
    <row r="924" spans="2:7" customFormat="1" ht="14.25" x14ac:dyDescent="0.2">
      <c r="B924" s="26" t="s">
        <v>1033</v>
      </c>
      <c r="E924" s="23">
        <v>7000</v>
      </c>
      <c r="G924" s="3"/>
    </row>
    <row r="925" spans="2:7" customFormat="1" ht="14.25" x14ac:dyDescent="0.2">
      <c r="B925" s="26" t="s">
        <v>1034</v>
      </c>
      <c r="E925" s="23">
        <v>8000</v>
      </c>
      <c r="G925" s="3"/>
    </row>
    <row r="926" spans="2:7" customFormat="1" ht="14.25" x14ac:dyDescent="0.2">
      <c r="B926" s="26" t="s">
        <v>1035</v>
      </c>
      <c r="E926" s="23">
        <v>7000</v>
      </c>
      <c r="G926" s="3"/>
    </row>
    <row r="927" spans="2:7" customFormat="1" ht="14.25" x14ac:dyDescent="0.2">
      <c r="B927" s="26" t="s">
        <v>1036</v>
      </c>
      <c r="E927" s="23">
        <v>8000</v>
      </c>
      <c r="G927" s="3"/>
    </row>
    <row r="928" spans="2:7" customFormat="1" ht="14.25" x14ac:dyDescent="0.2">
      <c r="B928" s="26" t="s">
        <v>1037</v>
      </c>
      <c r="E928" s="23">
        <v>10000</v>
      </c>
      <c r="G928" s="3"/>
    </row>
    <row r="929" spans="2:7" customFormat="1" ht="14.25" x14ac:dyDescent="0.2">
      <c r="B929" s="26" t="s">
        <v>1038</v>
      </c>
      <c r="E929" s="23">
        <v>100</v>
      </c>
      <c r="G929" s="3"/>
    </row>
    <row r="930" spans="2:7" customFormat="1" ht="14.25" x14ac:dyDescent="0.2">
      <c r="B930" s="26" t="s">
        <v>1039</v>
      </c>
      <c r="E930" s="23">
        <v>3000</v>
      </c>
      <c r="G930" s="3"/>
    </row>
    <row r="931" spans="2:7" customFormat="1" ht="14.25" x14ac:dyDescent="0.2">
      <c r="B931" s="26" t="s">
        <v>1040</v>
      </c>
      <c r="E931" s="23">
        <v>3500</v>
      </c>
      <c r="G931" s="3"/>
    </row>
    <row r="932" spans="2:7" customFormat="1" ht="14.25" x14ac:dyDescent="0.2">
      <c r="B932" s="26" t="s">
        <v>1041</v>
      </c>
      <c r="E932" s="23">
        <v>4000</v>
      </c>
      <c r="G932" s="3"/>
    </row>
    <row r="933" spans="2:7" customFormat="1" ht="14.25" x14ac:dyDescent="0.2">
      <c r="B933" s="26" t="s">
        <v>1042</v>
      </c>
      <c r="E933" s="23">
        <v>5000</v>
      </c>
      <c r="G933" s="3"/>
    </row>
    <row r="934" spans="2:7" customFormat="1" ht="14.25" x14ac:dyDescent="0.2">
      <c r="B934" s="26" t="s">
        <v>1043</v>
      </c>
      <c r="E934" s="23">
        <v>4000</v>
      </c>
      <c r="G934" s="3"/>
    </row>
    <row r="935" spans="2:7" customFormat="1" ht="14.25" x14ac:dyDescent="0.2">
      <c r="B935" s="26" t="s">
        <v>1044</v>
      </c>
      <c r="E935" s="23">
        <v>4500</v>
      </c>
      <c r="G935" s="3"/>
    </row>
    <row r="936" spans="2:7" customFormat="1" ht="14.25" x14ac:dyDescent="0.2">
      <c r="B936" s="26" t="s">
        <v>1045</v>
      </c>
      <c r="E936" s="23">
        <v>5000</v>
      </c>
      <c r="G936" s="3"/>
    </row>
    <row r="937" spans="2:7" customFormat="1" ht="14.25" x14ac:dyDescent="0.2">
      <c r="B937" s="26" t="s">
        <v>1046</v>
      </c>
      <c r="E937" s="23">
        <v>6000</v>
      </c>
      <c r="G937" s="3"/>
    </row>
    <row r="938" spans="2:7" customFormat="1" ht="14.25" x14ac:dyDescent="0.2">
      <c r="B938" s="26" t="s">
        <v>1047</v>
      </c>
      <c r="E938" s="37">
        <v>5000</v>
      </c>
      <c r="G938" s="3"/>
    </row>
    <row r="939" spans="2:7" customFormat="1" ht="14.25" x14ac:dyDescent="0.2">
      <c r="B939" s="26" t="s">
        <v>1048</v>
      </c>
      <c r="E939" s="23">
        <v>5500</v>
      </c>
      <c r="G939" s="3"/>
    </row>
    <row r="940" spans="2:7" customFormat="1" ht="14.25" x14ac:dyDescent="0.2">
      <c r="B940" s="26" t="s">
        <v>1049</v>
      </c>
      <c r="E940" s="23">
        <v>6000</v>
      </c>
      <c r="G940" s="3"/>
    </row>
    <row r="941" spans="2:7" customFormat="1" ht="14.25" x14ac:dyDescent="0.2">
      <c r="B941" s="26" t="s">
        <v>1050</v>
      </c>
      <c r="E941" s="23">
        <v>7000</v>
      </c>
      <c r="G941" s="3"/>
    </row>
    <row r="942" spans="2:7" customFormat="1" ht="14.25" x14ac:dyDescent="0.2">
      <c r="B942" s="26" t="s">
        <v>1051</v>
      </c>
      <c r="E942" s="23">
        <v>8000</v>
      </c>
      <c r="G942" s="3"/>
    </row>
    <row r="943" spans="2:7" customFormat="1" ht="14.25" x14ac:dyDescent="0.2">
      <c r="B943" s="26" t="s">
        <v>1052</v>
      </c>
      <c r="E943" s="37">
        <v>6000</v>
      </c>
      <c r="G943" s="3"/>
    </row>
    <row r="944" spans="2:7" customFormat="1" ht="14.25" x14ac:dyDescent="0.2">
      <c r="B944" s="26" t="s">
        <v>1053</v>
      </c>
      <c r="E944" s="23">
        <v>6500</v>
      </c>
      <c r="G944" s="3"/>
    </row>
    <row r="945" spans="2:7" customFormat="1" ht="14.25" x14ac:dyDescent="0.2">
      <c r="B945" s="26" t="s">
        <v>1054</v>
      </c>
      <c r="E945" s="23">
        <v>7000</v>
      </c>
      <c r="G945" s="3"/>
    </row>
    <row r="946" spans="2:7" customFormat="1" ht="14.25" x14ac:dyDescent="0.2">
      <c r="B946" s="26" t="s">
        <v>1055</v>
      </c>
      <c r="E946" s="23">
        <v>8000</v>
      </c>
      <c r="G946" s="3"/>
    </row>
    <row r="947" spans="2:7" customFormat="1" ht="14.25" x14ac:dyDescent="0.2">
      <c r="B947" s="26" t="s">
        <v>1054</v>
      </c>
      <c r="E947" s="23">
        <v>7000</v>
      </c>
      <c r="G947" s="3"/>
    </row>
    <row r="948" spans="2:7" customFormat="1" ht="14.25" x14ac:dyDescent="0.2">
      <c r="B948" s="26" t="s">
        <v>1055</v>
      </c>
      <c r="E948" s="23">
        <v>8000</v>
      </c>
      <c r="G948" s="3"/>
    </row>
    <row r="949" spans="2:7" customFormat="1" ht="14.25" x14ac:dyDescent="0.2">
      <c r="B949" s="26" t="s">
        <v>1056</v>
      </c>
      <c r="E949" s="23">
        <v>10000</v>
      </c>
      <c r="G949" s="3"/>
    </row>
    <row r="950" spans="2:7" customFormat="1" ht="14.25" x14ac:dyDescent="0.2">
      <c r="B950" s="26" t="s">
        <v>1057</v>
      </c>
      <c r="E950" s="23">
        <v>4000</v>
      </c>
      <c r="G950" s="3"/>
    </row>
    <row r="951" spans="2:7" customFormat="1" ht="14.25" x14ac:dyDescent="0.2">
      <c r="B951" s="26" t="s">
        <v>1058</v>
      </c>
      <c r="E951" s="23">
        <v>4500</v>
      </c>
      <c r="G951" s="3"/>
    </row>
    <row r="952" spans="2:7" customFormat="1" ht="14.25" x14ac:dyDescent="0.2">
      <c r="B952" s="26" t="s">
        <v>1059</v>
      </c>
      <c r="E952" s="23">
        <v>5000</v>
      </c>
      <c r="G952" s="3"/>
    </row>
    <row r="953" spans="2:7" customFormat="1" ht="14.25" x14ac:dyDescent="0.2">
      <c r="B953" s="26" t="s">
        <v>1060</v>
      </c>
      <c r="E953" s="23">
        <v>6000</v>
      </c>
      <c r="G953" s="3"/>
    </row>
    <row r="954" spans="2:7" customFormat="1" ht="14.25" x14ac:dyDescent="0.2">
      <c r="B954" s="26" t="s">
        <v>1061</v>
      </c>
      <c r="E954" s="23">
        <v>7000</v>
      </c>
      <c r="G954" s="3"/>
    </row>
    <row r="955" spans="2:7" customFormat="1" ht="14.25" x14ac:dyDescent="0.2">
      <c r="B955" s="26" t="s">
        <v>1062</v>
      </c>
      <c r="E955" s="23">
        <v>8000</v>
      </c>
      <c r="G955" s="3"/>
    </row>
    <row r="956" spans="2:7" customFormat="1" ht="14.25" x14ac:dyDescent="0.2">
      <c r="B956" s="26" t="s">
        <v>1063</v>
      </c>
      <c r="E956" s="23">
        <v>3000</v>
      </c>
      <c r="G956" s="3"/>
    </row>
    <row r="957" spans="2:7" customFormat="1" ht="14.25" x14ac:dyDescent="0.2">
      <c r="B957" s="26" t="s">
        <v>1064</v>
      </c>
      <c r="E957" s="23">
        <v>3500</v>
      </c>
      <c r="G957" s="3"/>
    </row>
    <row r="958" spans="2:7" customFormat="1" ht="14.25" x14ac:dyDescent="0.2">
      <c r="B958" s="26" t="s">
        <v>1065</v>
      </c>
      <c r="E958" s="23">
        <v>4000</v>
      </c>
      <c r="G958" s="3"/>
    </row>
    <row r="959" spans="2:7" customFormat="1" ht="14.25" x14ac:dyDescent="0.2">
      <c r="B959" s="26" t="s">
        <v>1066</v>
      </c>
      <c r="E959" s="23">
        <v>5000</v>
      </c>
      <c r="G959" s="3"/>
    </row>
    <row r="960" spans="2:7" customFormat="1" ht="14.25" x14ac:dyDescent="0.2">
      <c r="B960" s="26" t="s">
        <v>1067</v>
      </c>
      <c r="E960" s="23">
        <v>3000</v>
      </c>
      <c r="G960" s="3"/>
    </row>
    <row r="961" spans="2:7" customFormat="1" ht="14.25" x14ac:dyDescent="0.2">
      <c r="B961" s="26" t="s">
        <v>1068</v>
      </c>
      <c r="E961" s="23">
        <v>3500</v>
      </c>
      <c r="G961" s="3"/>
    </row>
    <row r="962" spans="2:7" customFormat="1" ht="14.25" x14ac:dyDescent="0.2">
      <c r="B962" s="26" t="s">
        <v>1069</v>
      </c>
      <c r="E962" s="23">
        <v>4000</v>
      </c>
      <c r="G962" s="3"/>
    </row>
    <row r="963" spans="2:7" customFormat="1" ht="14.25" x14ac:dyDescent="0.2">
      <c r="B963" s="26" t="s">
        <v>1070</v>
      </c>
      <c r="E963" s="23">
        <v>5000</v>
      </c>
      <c r="G963" s="3"/>
    </row>
    <row r="964" spans="2:7" customFormat="1" ht="14.25" x14ac:dyDescent="0.2">
      <c r="B964" s="26" t="s">
        <v>1071</v>
      </c>
      <c r="E964" s="23">
        <v>6000</v>
      </c>
      <c r="G964" s="3"/>
    </row>
    <row r="965" spans="2:7" customFormat="1" ht="14.25" x14ac:dyDescent="0.2">
      <c r="B965" s="26" t="s">
        <v>1072</v>
      </c>
      <c r="E965" s="23">
        <v>7000</v>
      </c>
      <c r="G965" s="3"/>
    </row>
    <row r="966" spans="2:7" customFormat="1" ht="14.25" x14ac:dyDescent="0.2">
      <c r="B966" s="26" t="s">
        <v>1073</v>
      </c>
      <c r="E966" s="23">
        <v>8000</v>
      </c>
      <c r="G966" s="3"/>
    </row>
    <row r="967" spans="2:7" customFormat="1" ht="14.25" x14ac:dyDescent="0.2">
      <c r="B967" s="26" t="s">
        <v>1074</v>
      </c>
      <c r="E967" s="23">
        <v>3000</v>
      </c>
      <c r="G967" s="3"/>
    </row>
    <row r="968" spans="2:7" customFormat="1" ht="14.25" x14ac:dyDescent="0.2">
      <c r="B968" s="26" t="s">
        <v>1075</v>
      </c>
      <c r="E968" s="23">
        <v>3500</v>
      </c>
      <c r="G968" s="3"/>
    </row>
    <row r="969" spans="2:7" customFormat="1" ht="14.25" x14ac:dyDescent="0.2">
      <c r="B969" s="26" t="s">
        <v>1076</v>
      </c>
      <c r="E969" s="23">
        <v>4000</v>
      </c>
      <c r="G969" s="3"/>
    </row>
    <row r="970" spans="2:7" customFormat="1" ht="14.25" x14ac:dyDescent="0.2">
      <c r="B970" s="26" t="s">
        <v>1077</v>
      </c>
      <c r="E970" s="23">
        <v>5000</v>
      </c>
      <c r="G970" s="3"/>
    </row>
    <row r="971" spans="2:7" customFormat="1" ht="14.25" x14ac:dyDescent="0.2">
      <c r="B971" s="26" t="s">
        <v>1078</v>
      </c>
      <c r="E971" s="23">
        <v>6000</v>
      </c>
      <c r="G971" s="3"/>
    </row>
    <row r="972" spans="2:7" customFormat="1" ht="14.25" x14ac:dyDescent="0.2">
      <c r="B972" s="26" t="s">
        <v>1079</v>
      </c>
      <c r="E972" s="23">
        <v>7000</v>
      </c>
      <c r="G972" s="3"/>
    </row>
    <row r="973" spans="2:7" customFormat="1" ht="14.25" x14ac:dyDescent="0.2">
      <c r="B973" s="26" t="s">
        <v>1080</v>
      </c>
      <c r="E973" s="23">
        <v>8000</v>
      </c>
      <c r="G973" s="3"/>
    </row>
    <row r="974" spans="2:7" customFormat="1" ht="14.25" x14ac:dyDescent="0.2">
      <c r="B974" s="26" t="s">
        <v>1081</v>
      </c>
      <c r="E974" s="23">
        <v>3000</v>
      </c>
      <c r="G974" s="3"/>
    </row>
    <row r="975" spans="2:7" customFormat="1" ht="14.25" x14ac:dyDescent="0.2">
      <c r="B975" s="26" t="s">
        <v>1082</v>
      </c>
      <c r="E975" s="23">
        <v>3500</v>
      </c>
      <c r="G975" s="3"/>
    </row>
    <row r="976" spans="2:7" customFormat="1" ht="14.25" x14ac:dyDescent="0.2">
      <c r="B976" s="26" t="s">
        <v>1083</v>
      </c>
      <c r="E976" s="23">
        <v>4000</v>
      </c>
      <c r="G976" s="3"/>
    </row>
    <row r="977" spans="2:7" customFormat="1" ht="14.25" x14ac:dyDescent="0.2">
      <c r="B977" s="26" t="s">
        <v>1084</v>
      </c>
      <c r="E977" s="23">
        <v>5000</v>
      </c>
      <c r="G977" s="3"/>
    </row>
    <row r="978" spans="2:7" customFormat="1" ht="14.25" x14ac:dyDescent="0.2">
      <c r="B978" s="26" t="s">
        <v>1085</v>
      </c>
      <c r="E978" s="23">
        <v>4000</v>
      </c>
      <c r="G978" s="3"/>
    </row>
    <row r="979" spans="2:7" customFormat="1" ht="14.25" x14ac:dyDescent="0.2">
      <c r="B979" s="26" t="s">
        <v>1086</v>
      </c>
      <c r="E979" s="23">
        <v>4500</v>
      </c>
      <c r="G979" s="3"/>
    </row>
    <row r="980" spans="2:7" customFormat="1" ht="14.25" x14ac:dyDescent="0.2">
      <c r="B980" s="26" t="s">
        <v>1087</v>
      </c>
      <c r="E980" s="23">
        <v>5000</v>
      </c>
      <c r="G980" s="3"/>
    </row>
    <row r="981" spans="2:7" customFormat="1" ht="14.25" x14ac:dyDescent="0.2">
      <c r="B981" s="26" t="s">
        <v>1088</v>
      </c>
      <c r="E981" s="23">
        <v>6000</v>
      </c>
      <c r="G981" s="3"/>
    </row>
    <row r="982" spans="2:7" customFormat="1" ht="14.25" x14ac:dyDescent="0.2">
      <c r="B982" s="26" t="s">
        <v>1089</v>
      </c>
      <c r="E982" s="37">
        <v>5000</v>
      </c>
      <c r="G982" s="3"/>
    </row>
    <row r="983" spans="2:7" customFormat="1" ht="14.25" x14ac:dyDescent="0.2">
      <c r="B983" s="26" t="s">
        <v>1090</v>
      </c>
      <c r="E983" s="23">
        <v>5500</v>
      </c>
      <c r="G983" s="3"/>
    </row>
    <row r="984" spans="2:7" customFormat="1" ht="14.25" x14ac:dyDescent="0.2">
      <c r="B984" s="26" t="s">
        <v>1091</v>
      </c>
      <c r="E984" s="23">
        <v>6000</v>
      </c>
      <c r="G984" s="3"/>
    </row>
    <row r="985" spans="2:7" customFormat="1" ht="14.25" x14ac:dyDescent="0.2">
      <c r="B985" s="26" t="s">
        <v>1092</v>
      </c>
      <c r="E985" s="23">
        <v>7000</v>
      </c>
      <c r="G985" s="3"/>
    </row>
    <row r="986" spans="2:7" customFormat="1" ht="14.25" x14ac:dyDescent="0.2">
      <c r="B986" s="26" t="s">
        <v>1093</v>
      </c>
      <c r="E986" s="37">
        <v>6000</v>
      </c>
      <c r="G986" s="3"/>
    </row>
    <row r="987" spans="2:7" customFormat="1" ht="14.25" x14ac:dyDescent="0.2">
      <c r="B987" s="26" t="s">
        <v>1094</v>
      </c>
      <c r="E987" s="23">
        <v>6500</v>
      </c>
      <c r="G987" s="3"/>
    </row>
    <row r="988" spans="2:7" customFormat="1" ht="14.25" x14ac:dyDescent="0.2">
      <c r="B988" s="26" t="s">
        <v>1095</v>
      </c>
      <c r="E988" s="23">
        <v>7000</v>
      </c>
      <c r="G988" s="3"/>
    </row>
    <row r="989" spans="2:7" customFormat="1" ht="14.25" x14ac:dyDescent="0.2">
      <c r="B989" s="26" t="s">
        <v>1096</v>
      </c>
      <c r="E989" s="23">
        <v>8000</v>
      </c>
      <c r="G989" s="3"/>
    </row>
    <row r="990" spans="2:7" customFormat="1" ht="14.25" x14ac:dyDescent="0.2">
      <c r="B990" s="26" t="s">
        <v>1095</v>
      </c>
      <c r="E990" s="23">
        <v>7000</v>
      </c>
      <c r="G990" s="3"/>
    </row>
    <row r="991" spans="2:7" customFormat="1" ht="14.25" x14ac:dyDescent="0.2">
      <c r="B991" s="26" t="s">
        <v>1096</v>
      </c>
      <c r="E991" s="23">
        <v>8000</v>
      </c>
      <c r="G991" s="3"/>
    </row>
    <row r="992" spans="2:7" customFormat="1" ht="14.25" x14ac:dyDescent="0.2">
      <c r="B992" s="26" t="s">
        <v>1097</v>
      </c>
      <c r="E992" s="23">
        <v>10000</v>
      </c>
      <c r="G992" s="3"/>
    </row>
    <row r="993" spans="2:7" customFormat="1" ht="14.25" x14ac:dyDescent="0.2">
      <c r="B993" s="31" t="s">
        <v>28</v>
      </c>
      <c r="E993" s="24"/>
    </row>
    <row r="994" spans="2:7" customFormat="1" ht="14.25" x14ac:dyDescent="0.2">
      <c r="B994" s="26" t="s">
        <v>1098</v>
      </c>
      <c r="E994" s="23">
        <v>150</v>
      </c>
      <c r="G994" s="3"/>
    </row>
    <row r="995" spans="2:7" customFormat="1" ht="14.25" x14ac:dyDescent="0.2">
      <c r="B995" s="26" t="s">
        <v>1099</v>
      </c>
      <c r="E995" s="23">
        <v>3000</v>
      </c>
      <c r="G995" s="3"/>
    </row>
    <row r="996" spans="2:7" customFormat="1" ht="14.25" x14ac:dyDescent="0.2">
      <c r="B996" s="26" t="s">
        <v>1100</v>
      </c>
      <c r="E996" s="23">
        <v>3500</v>
      </c>
      <c r="G996" s="3"/>
    </row>
    <row r="997" spans="2:7" customFormat="1" ht="14.25" x14ac:dyDescent="0.2">
      <c r="B997" s="26" t="s">
        <v>1101</v>
      </c>
      <c r="E997" s="23">
        <v>4000</v>
      </c>
      <c r="G997" s="3"/>
    </row>
    <row r="998" spans="2:7" customFormat="1" ht="14.25" x14ac:dyDescent="0.2">
      <c r="B998" s="26" t="s">
        <v>1102</v>
      </c>
      <c r="E998" s="23">
        <v>5000</v>
      </c>
      <c r="G998" s="3"/>
    </row>
    <row r="999" spans="2:7" customFormat="1" ht="14.25" x14ac:dyDescent="0.2">
      <c r="B999" s="26" t="s">
        <v>1103</v>
      </c>
      <c r="E999" s="23">
        <v>6000</v>
      </c>
      <c r="G999" s="3"/>
    </row>
    <row r="1000" spans="2:7" customFormat="1" ht="14.25" x14ac:dyDescent="0.2">
      <c r="B1000" s="26" t="s">
        <v>1104</v>
      </c>
      <c r="E1000" s="23">
        <v>3000</v>
      </c>
      <c r="G1000" s="3"/>
    </row>
    <row r="1001" spans="2:7" customFormat="1" ht="14.25" x14ac:dyDescent="0.2">
      <c r="B1001" s="26" t="s">
        <v>1105</v>
      </c>
      <c r="E1001" s="23">
        <v>4000</v>
      </c>
      <c r="G1001" s="3"/>
    </row>
    <row r="1002" spans="2:7" customFormat="1" ht="14.25" x14ac:dyDescent="0.2">
      <c r="B1002" s="26" t="s">
        <v>1106</v>
      </c>
      <c r="E1002" s="23">
        <v>5000</v>
      </c>
      <c r="G1002" s="3"/>
    </row>
    <row r="1003" spans="2:7" customFormat="1" ht="14.25" x14ac:dyDescent="0.2">
      <c r="B1003" s="34" t="s">
        <v>29</v>
      </c>
      <c r="E1003" s="23"/>
    </row>
    <row r="1004" spans="2:7" customFormat="1" ht="14.25" x14ac:dyDescent="0.2">
      <c r="B1004" s="26" t="s">
        <v>1107</v>
      </c>
      <c r="E1004" s="23">
        <v>1500</v>
      </c>
      <c r="G1004" s="3"/>
    </row>
    <row r="1005" spans="2:7" customFormat="1" ht="14.25" x14ac:dyDescent="0.2">
      <c r="B1005" s="26" t="s">
        <v>1108</v>
      </c>
      <c r="E1005" s="23">
        <v>1800</v>
      </c>
      <c r="G1005" s="3"/>
    </row>
    <row r="1006" spans="2:7" customFormat="1" ht="14.25" x14ac:dyDescent="0.2">
      <c r="B1006" s="26" t="s">
        <v>1109</v>
      </c>
      <c r="E1006" s="23">
        <v>2000</v>
      </c>
      <c r="G1006" s="3"/>
    </row>
    <row r="1007" spans="2:7" customFormat="1" ht="14.25" x14ac:dyDescent="0.2">
      <c r="B1007" s="26" t="s">
        <v>1110</v>
      </c>
      <c r="E1007" s="23">
        <v>2500</v>
      </c>
      <c r="G1007" s="3"/>
    </row>
    <row r="1008" spans="2:7" customFormat="1" ht="14.25" x14ac:dyDescent="0.2">
      <c r="B1008" s="26" t="s">
        <v>1111</v>
      </c>
      <c r="E1008" s="23">
        <v>3000</v>
      </c>
      <c r="G1008" s="3"/>
    </row>
    <row r="1009" spans="2:7" customFormat="1" ht="14.25" x14ac:dyDescent="0.2">
      <c r="B1009" s="26" t="s">
        <v>1112</v>
      </c>
      <c r="E1009" s="23">
        <v>150</v>
      </c>
      <c r="G1009" s="3"/>
    </row>
    <row r="1010" spans="2:7" customFormat="1" ht="14.25" x14ac:dyDescent="0.2">
      <c r="B1010" s="26" t="s">
        <v>1113</v>
      </c>
      <c r="E1010" s="23">
        <v>100</v>
      </c>
      <c r="G1010" s="3"/>
    </row>
    <row r="1011" spans="2:7" customFormat="1" ht="14.25" x14ac:dyDescent="0.2">
      <c r="B1011" s="26" t="s">
        <v>1114</v>
      </c>
      <c r="E1011" s="23">
        <v>800</v>
      </c>
      <c r="G1011" s="3"/>
    </row>
    <row r="1012" spans="2:7" customFormat="1" ht="14.25" x14ac:dyDescent="0.2">
      <c r="B1012" s="26" t="s">
        <v>1115</v>
      </c>
      <c r="E1012" s="23">
        <v>1000</v>
      </c>
      <c r="G1012" s="3"/>
    </row>
    <row r="1013" spans="2:7" customFormat="1" ht="14.25" x14ac:dyDescent="0.2">
      <c r="B1013" s="26" t="s">
        <v>1116</v>
      </c>
      <c r="E1013" s="23">
        <v>100</v>
      </c>
      <c r="G1013" s="3"/>
    </row>
    <row r="1014" spans="2:7" customFormat="1" ht="14.25" x14ac:dyDescent="0.2">
      <c r="B1014" s="26" t="s">
        <v>1117</v>
      </c>
      <c r="E1014" s="23">
        <v>500</v>
      </c>
      <c r="G1014" s="3"/>
    </row>
    <row r="1015" spans="2:7" customFormat="1" ht="14.25" x14ac:dyDescent="0.2">
      <c r="B1015" s="26" t="s">
        <v>1118</v>
      </c>
      <c r="E1015" s="23">
        <v>750</v>
      </c>
      <c r="G1015" s="3"/>
    </row>
    <row r="1016" spans="2:7" customFormat="1" ht="14.25" x14ac:dyDescent="0.2">
      <c r="B1016" s="26" t="s">
        <v>1119</v>
      </c>
      <c r="E1016" s="23">
        <v>1000</v>
      </c>
      <c r="G1016" s="3"/>
    </row>
    <row r="1017" spans="2:7" customFormat="1" ht="14.25" x14ac:dyDescent="0.2">
      <c r="B1017" s="26" t="s">
        <v>1120</v>
      </c>
      <c r="E1017" s="23">
        <v>1200</v>
      </c>
      <c r="G1017" s="3"/>
    </row>
    <row r="1018" spans="2:7" customFormat="1" ht="14.25" x14ac:dyDescent="0.2">
      <c r="B1018" s="26" t="s">
        <v>1121</v>
      </c>
      <c r="E1018" s="23">
        <v>1500</v>
      </c>
      <c r="G1018" s="3"/>
    </row>
    <row r="1019" spans="2:7" customFormat="1" ht="14.25" x14ac:dyDescent="0.2">
      <c r="B1019" s="26" t="s">
        <v>1122</v>
      </c>
      <c r="E1019" s="23">
        <v>800</v>
      </c>
      <c r="G1019" s="3"/>
    </row>
    <row r="1020" spans="2:7" customFormat="1" ht="14.25" x14ac:dyDescent="0.2">
      <c r="B1020" s="26" t="s">
        <v>1123</v>
      </c>
      <c r="E1020" s="23">
        <v>1000</v>
      </c>
      <c r="G1020" s="3"/>
    </row>
    <row r="1021" spans="2:7" customFormat="1" ht="14.25" x14ac:dyDescent="0.2">
      <c r="B1021" s="26" t="s">
        <v>1124</v>
      </c>
      <c r="E1021" s="23">
        <v>1200</v>
      </c>
      <c r="G1021" s="3"/>
    </row>
    <row r="1022" spans="2:7" customFormat="1" ht="14.25" x14ac:dyDescent="0.2">
      <c r="B1022" s="26" t="s">
        <v>1125</v>
      </c>
      <c r="E1022" s="23">
        <v>1500</v>
      </c>
      <c r="G1022" s="3"/>
    </row>
    <row r="1023" spans="2:7" customFormat="1" ht="14.25" x14ac:dyDescent="0.2">
      <c r="B1023" s="26" t="s">
        <v>1126</v>
      </c>
      <c r="E1023" s="23">
        <v>800</v>
      </c>
      <c r="G1023" s="3"/>
    </row>
    <row r="1024" spans="2:7" customFormat="1" ht="14.25" x14ac:dyDescent="0.2">
      <c r="B1024" s="26" t="s">
        <v>1127</v>
      </c>
      <c r="E1024" s="23">
        <v>1000</v>
      </c>
      <c r="G1024" s="3"/>
    </row>
    <row r="1025" spans="2:7" customFormat="1" ht="14.25" x14ac:dyDescent="0.2">
      <c r="B1025" s="26" t="s">
        <v>1128</v>
      </c>
      <c r="E1025" s="39">
        <v>1200</v>
      </c>
      <c r="G1025" s="3"/>
    </row>
    <row r="1026" spans="2:7" customFormat="1" ht="14.25" x14ac:dyDescent="0.2">
      <c r="B1026" s="26" t="s">
        <v>1129</v>
      </c>
      <c r="E1026" s="23">
        <v>1500</v>
      </c>
      <c r="G1026" s="3"/>
    </row>
    <row r="1027" spans="2:7" customFormat="1" ht="14.25" x14ac:dyDescent="0.2">
      <c r="B1027" s="26" t="s">
        <v>1130</v>
      </c>
      <c r="E1027" s="23">
        <v>1800</v>
      </c>
      <c r="G1027" s="3"/>
    </row>
    <row r="1028" spans="2:7" customFormat="1" ht="14.25" x14ac:dyDescent="0.2">
      <c r="B1028" s="26" t="s">
        <v>1131</v>
      </c>
      <c r="E1028" s="23">
        <v>2000</v>
      </c>
      <c r="G1028" s="3"/>
    </row>
    <row r="1029" spans="2:7" customFormat="1" ht="14.25" x14ac:dyDescent="0.2">
      <c r="B1029" s="26" t="s">
        <v>1132</v>
      </c>
      <c r="E1029" s="23">
        <v>2500</v>
      </c>
      <c r="G1029" s="3"/>
    </row>
    <row r="1030" spans="2:7" customFormat="1" ht="14.25" x14ac:dyDescent="0.2">
      <c r="B1030" s="26" t="s">
        <v>1133</v>
      </c>
      <c r="E1030" s="23">
        <v>3000</v>
      </c>
      <c r="G1030" s="3"/>
    </row>
    <row r="1031" spans="2:7" customFormat="1" ht="14.25" x14ac:dyDescent="0.2">
      <c r="B1031" s="26" t="s">
        <v>1134</v>
      </c>
      <c r="E1031" s="23">
        <v>3500</v>
      </c>
      <c r="G1031" s="3"/>
    </row>
    <row r="1032" spans="2:7" customFormat="1" ht="14.25" x14ac:dyDescent="0.2">
      <c r="B1032" s="26" t="s">
        <v>1135</v>
      </c>
      <c r="E1032" s="23">
        <v>4000</v>
      </c>
      <c r="G1032" s="3"/>
    </row>
    <row r="1033" spans="2:7" customFormat="1" ht="14.25" x14ac:dyDescent="0.2">
      <c r="B1033" s="26" t="s">
        <v>1136</v>
      </c>
      <c r="E1033" s="23">
        <v>5000</v>
      </c>
      <c r="G1033" s="3"/>
    </row>
    <row r="1034" spans="2:7" customFormat="1" ht="14.25" x14ac:dyDescent="0.2">
      <c r="B1034" s="26" t="s">
        <v>1137</v>
      </c>
      <c r="E1034" s="23">
        <v>2500</v>
      </c>
      <c r="G1034" s="3"/>
    </row>
    <row r="1035" spans="2:7" customFormat="1" ht="14.25" x14ac:dyDescent="0.2">
      <c r="B1035" s="26" t="s">
        <v>1138</v>
      </c>
      <c r="E1035" s="23">
        <v>3000</v>
      </c>
      <c r="G1035" s="3"/>
    </row>
    <row r="1036" spans="2:7" customFormat="1" ht="14.25" x14ac:dyDescent="0.2">
      <c r="B1036" s="26" t="s">
        <v>1139</v>
      </c>
      <c r="E1036" s="23">
        <v>3500</v>
      </c>
      <c r="G1036" s="3"/>
    </row>
    <row r="1037" spans="2:7" customFormat="1" ht="14.25" x14ac:dyDescent="0.2">
      <c r="B1037" s="26" t="s">
        <v>1140</v>
      </c>
      <c r="E1037" s="23">
        <v>4000</v>
      </c>
      <c r="G1037" s="3"/>
    </row>
    <row r="1038" spans="2:7" customFormat="1" ht="14.25" x14ac:dyDescent="0.2">
      <c r="B1038" s="26" t="s">
        <v>1141</v>
      </c>
      <c r="E1038" s="23">
        <v>5000</v>
      </c>
      <c r="G1038" s="3"/>
    </row>
    <row r="1039" spans="2:7" customFormat="1" ht="14.25" x14ac:dyDescent="0.2">
      <c r="B1039" s="26" t="s">
        <v>1142</v>
      </c>
      <c r="E1039" s="23" t="s">
        <v>30</v>
      </c>
      <c r="G1039" s="3"/>
    </row>
    <row r="1040" spans="2:7" customFormat="1" ht="14.25" x14ac:dyDescent="0.2">
      <c r="B1040" s="26" t="s">
        <v>1143</v>
      </c>
      <c r="E1040" s="23" t="s">
        <v>30</v>
      </c>
      <c r="G1040" s="3"/>
    </row>
    <row r="1041" spans="2:7" customFormat="1" ht="14.25" x14ac:dyDescent="0.2">
      <c r="B1041" s="26" t="s">
        <v>1144</v>
      </c>
      <c r="E1041" s="23">
        <v>2000</v>
      </c>
      <c r="G1041" s="3"/>
    </row>
    <row r="1042" spans="2:7" customFormat="1" ht="14.25" x14ac:dyDescent="0.2">
      <c r="B1042" s="26" t="s">
        <v>1145</v>
      </c>
      <c r="E1042" s="23">
        <v>2500</v>
      </c>
      <c r="G1042" s="3"/>
    </row>
    <row r="1043" spans="2:7" customFormat="1" ht="14.25" x14ac:dyDescent="0.2">
      <c r="B1043" s="26" t="s">
        <v>1146</v>
      </c>
      <c r="E1043" s="23">
        <v>3000</v>
      </c>
      <c r="G1043" s="3"/>
    </row>
    <row r="1044" spans="2:7" customFormat="1" ht="14.25" x14ac:dyDescent="0.2">
      <c r="B1044" s="26" t="s">
        <v>1147</v>
      </c>
      <c r="E1044" s="23">
        <v>3500</v>
      </c>
      <c r="G1044" s="3"/>
    </row>
    <row r="1045" spans="2:7" customFormat="1" ht="14.25" x14ac:dyDescent="0.2">
      <c r="B1045" s="26" t="s">
        <v>1148</v>
      </c>
      <c r="E1045" s="23">
        <v>4000</v>
      </c>
      <c r="G1045" s="3"/>
    </row>
    <row r="1046" spans="2:7" customFormat="1" ht="14.25" x14ac:dyDescent="0.2">
      <c r="B1046" s="26" t="s">
        <v>1149</v>
      </c>
      <c r="E1046" s="37">
        <v>500</v>
      </c>
      <c r="G1046" s="3"/>
    </row>
    <row r="1047" spans="2:7" customFormat="1" ht="14.25" x14ac:dyDescent="0.2">
      <c r="B1047" s="31" t="s">
        <v>31</v>
      </c>
      <c r="E1047" s="24"/>
    </row>
    <row r="1048" spans="2:7" customFormat="1" ht="14.25" x14ac:dyDescent="0.2">
      <c r="B1048" s="26" t="s">
        <v>1150</v>
      </c>
      <c r="E1048" s="24">
        <v>5000</v>
      </c>
      <c r="G1048" s="3"/>
    </row>
    <row r="1049" spans="2:7" customFormat="1" ht="14.25" x14ac:dyDescent="0.2">
      <c r="B1049" s="26" t="s">
        <v>1151</v>
      </c>
      <c r="E1049" s="24">
        <v>6000</v>
      </c>
      <c r="G1049" s="3"/>
    </row>
    <row r="1050" spans="2:7" customFormat="1" ht="14.25" x14ac:dyDescent="0.2">
      <c r="B1050" s="26" t="s">
        <v>1152</v>
      </c>
      <c r="E1050" s="24">
        <v>7000</v>
      </c>
      <c r="G1050" s="3"/>
    </row>
    <row r="1051" spans="2:7" customFormat="1" ht="14.25" x14ac:dyDescent="0.2">
      <c r="B1051" s="26" t="s">
        <v>1153</v>
      </c>
      <c r="E1051" s="24">
        <v>8000</v>
      </c>
      <c r="G1051" s="3"/>
    </row>
    <row r="1052" spans="2:7" customFormat="1" ht="14.25" x14ac:dyDescent="0.2">
      <c r="B1052" s="26" t="s">
        <v>1154</v>
      </c>
      <c r="E1052" s="24">
        <v>2000</v>
      </c>
      <c r="G1052" s="3"/>
    </row>
    <row r="1053" spans="2:7" customFormat="1" ht="14.25" x14ac:dyDescent="0.2">
      <c r="B1053" s="26" t="s">
        <v>1155</v>
      </c>
      <c r="E1053" s="24">
        <v>2500</v>
      </c>
      <c r="G1053" s="3"/>
    </row>
    <row r="1054" spans="2:7" customFormat="1" ht="14.25" x14ac:dyDescent="0.2">
      <c r="B1054" s="26" t="s">
        <v>1156</v>
      </c>
      <c r="E1054" s="24">
        <v>2500</v>
      </c>
      <c r="G1054" s="3"/>
    </row>
    <row r="1055" spans="2:7" customFormat="1" ht="14.25" x14ac:dyDescent="0.2">
      <c r="B1055" s="26" t="s">
        <v>1157</v>
      </c>
      <c r="E1055" s="24">
        <v>5000</v>
      </c>
      <c r="G1055" s="3"/>
    </row>
    <row r="1056" spans="2:7" customFormat="1" ht="14.25" x14ac:dyDescent="0.2">
      <c r="B1056" s="26" t="s">
        <v>1158</v>
      </c>
      <c r="E1056" s="24">
        <v>3000</v>
      </c>
      <c r="G1056" s="3"/>
    </row>
    <row r="1057" spans="2:7" customFormat="1" ht="14.25" x14ac:dyDescent="0.2">
      <c r="B1057" s="26" t="s">
        <v>1159</v>
      </c>
      <c r="E1057" s="24">
        <v>4000</v>
      </c>
      <c r="G1057" s="3"/>
    </row>
    <row r="1058" spans="2:7" customFormat="1" ht="14.25" x14ac:dyDescent="0.2">
      <c r="B1058" s="26" t="s">
        <v>1160</v>
      </c>
      <c r="E1058" s="24">
        <v>5000</v>
      </c>
      <c r="G1058" s="3"/>
    </row>
    <row r="1059" spans="2:7" customFormat="1" ht="14.25" x14ac:dyDescent="0.2">
      <c r="B1059" s="26" t="s">
        <v>1161</v>
      </c>
      <c r="E1059" s="24">
        <v>6000</v>
      </c>
      <c r="G1059" s="3"/>
    </row>
    <row r="1060" spans="2:7" customFormat="1" ht="14.25" x14ac:dyDescent="0.2">
      <c r="B1060" s="26" t="s">
        <v>1162</v>
      </c>
      <c r="E1060" s="24">
        <v>4000</v>
      </c>
      <c r="G1060" s="3"/>
    </row>
    <row r="1061" spans="2:7" customFormat="1" ht="14.25" x14ac:dyDescent="0.2">
      <c r="B1061" s="26" t="s">
        <v>1163</v>
      </c>
      <c r="E1061" s="24">
        <v>4000</v>
      </c>
      <c r="G1061" s="3"/>
    </row>
    <row r="1062" spans="2:7" customFormat="1" ht="14.25" x14ac:dyDescent="0.2">
      <c r="B1062" s="26" t="s">
        <v>1164</v>
      </c>
      <c r="E1062" s="24">
        <v>6000</v>
      </c>
      <c r="G1062" s="3"/>
    </row>
    <row r="1063" spans="2:7" customFormat="1" ht="14.25" x14ac:dyDescent="0.2">
      <c r="B1063" s="26" t="s">
        <v>1165</v>
      </c>
      <c r="E1063" s="24">
        <v>6500</v>
      </c>
      <c r="G1063" s="3"/>
    </row>
    <row r="1064" spans="2:7" customFormat="1" ht="14.25" x14ac:dyDescent="0.2">
      <c r="B1064" s="26" t="s">
        <v>1166</v>
      </c>
      <c r="E1064" s="24">
        <v>7000</v>
      </c>
      <c r="G1064" s="3"/>
    </row>
    <row r="1065" spans="2:7" customFormat="1" ht="14.25" x14ac:dyDescent="0.2">
      <c r="B1065" s="26" t="s">
        <v>1167</v>
      </c>
      <c r="E1065" s="24">
        <v>7500</v>
      </c>
      <c r="G1065" s="3"/>
    </row>
    <row r="1066" spans="2:7" customFormat="1" ht="14.25" x14ac:dyDescent="0.2">
      <c r="B1066" s="26" t="s">
        <v>1168</v>
      </c>
      <c r="E1066" s="24">
        <v>8000</v>
      </c>
      <c r="G1066" s="3"/>
    </row>
    <row r="1067" spans="2:7" customFormat="1" ht="14.25" x14ac:dyDescent="0.2">
      <c r="B1067" s="26" t="s">
        <v>1169</v>
      </c>
      <c r="E1067" s="24">
        <v>7500</v>
      </c>
      <c r="G1067" s="3"/>
    </row>
    <row r="1068" spans="2:7" customFormat="1" ht="14.25" x14ac:dyDescent="0.2">
      <c r="B1068" s="26" t="s">
        <v>1170</v>
      </c>
      <c r="E1068" s="24">
        <v>8000</v>
      </c>
      <c r="G1068" s="3"/>
    </row>
    <row r="1069" spans="2:7" customFormat="1" ht="14.25" x14ac:dyDescent="0.2">
      <c r="B1069" s="26" t="s">
        <v>1171</v>
      </c>
      <c r="E1069" s="24">
        <v>8500</v>
      </c>
      <c r="G1069" s="3"/>
    </row>
    <row r="1070" spans="2:7" customFormat="1" ht="14.25" x14ac:dyDescent="0.2">
      <c r="B1070" s="26" t="s">
        <v>1172</v>
      </c>
      <c r="E1070" s="24">
        <v>9000</v>
      </c>
      <c r="G1070" s="3"/>
    </row>
    <row r="1071" spans="2:7" customFormat="1" ht="14.25" x14ac:dyDescent="0.2">
      <c r="B1071" s="26" t="s">
        <v>1173</v>
      </c>
      <c r="E1071" s="24">
        <v>10000</v>
      </c>
      <c r="G1071" s="3"/>
    </row>
    <row r="1072" spans="2:7" customFormat="1" ht="14.25" x14ac:dyDescent="0.2">
      <c r="B1072" s="26" t="s">
        <v>1174</v>
      </c>
      <c r="E1072" s="24">
        <v>6000</v>
      </c>
      <c r="G1072" s="3"/>
    </row>
    <row r="1073" spans="2:7" customFormat="1" ht="14.25" x14ac:dyDescent="0.2">
      <c r="B1073" s="26" t="s">
        <v>1175</v>
      </c>
      <c r="E1073" s="24">
        <v>7000</v>
      </c>
      <c r="G1073" s="3"/>
    </row>
    <row r="1074" spans="2:7" customFormat="1" ht="14.25" x14ac:dyDescent="0.2">
      <c r="B1074" s="26" t="s">
        <v>1176</v>
      </c>
      <c r="E1074" s="24">
        <v>8000</v>
      </c>
      <c r="G1074" s="3"/>
    </row>
    <row r="1075" spans="2:7" customFormat="1" ht="14.25" x14ac:dyDescent="0.2">
      <c r="B1075" s="26" t="s">
        <v>1177</v>
      </c>
      <c r="E1075" s="24">
        <v>8000</v>
      </c>
      <c r="G1075" s="3"/>
    </row>
    <row r="1076" spans="2:7" customFormat="1" ht="14.25" x14ac:dyDescent="0.2">
      <c r="B1076" s="26" t="s">
        <v>1178</v>
      </c>
      <c r="E1076" s="24">
        <v>9000</v>
      </c>
      <c r="G1076" s="3"/>
    </row>
    <row r="1077" spans="2:7" customFormat="1" ht="14.25" x14ac:dyDescent="0.2">
      <c r="B1077" s="26" t="s">
        <v>1179</v>
      </c>
      <c r="E1077" s="24">
        <v>10000</v>
      </c>
      <c r="G1077" s="3"/>
    </row>
    <row r="1078" spans="2:7" customFormat="1" ht="14.25" x14ac:dyDescent="0.2">
      <c r="B1078" s="26" t="s">
        <v>1180</v>
      </c>
      <c r="E1078" s="24">
        <v>4000</v>
      </c>
      <c r="G1078" s="3"/>
    </row>
    <row r="1079" spans="2:7" customFormat="1" ht="14.25" x14ac:dyDescent="0.2">
      <c r="B1079" s="26" t="s">
        <v>1181</v>
      </c>
      <c r="E1079" s="24">
        <v>4500</v>
      </c>
      <c r="G1079" s="3"/>
    </row>
    <row r="1080" spans="2:7" customFormat="1" ht="14.25" x14ac:dyDescent="0.2">
      <c r="B1080" s="26" t="s">
        <v>1182</v>
      </c>
      <c r="E1080" s="24">
        <v>5000</v>
      </c>
      <c r="G1080" s="3"/>
    </row>
    <row r="1081" spans="2:7" customFormat="1" ht="14.25" x14ac:dyDescent="0.2">
      <c r="B1081" s="26" t="s">
        <v>1183</v>
      </c>
      <c r="E1081" s="24">
        <v>25000</v>
      </c>
      <c r="G1081" s="3"/>
    </row>
    <row r="1082" spans="2:7" customFormat="1" ht="14.25" x14ac:dyDescent="0.2">
      <c r="B1082" s="26" t="s">
        <v>1184</v>
      </c>
      <c r="E1082" s="24">
        <v>28000</v>
      </c>
      <c r="G1082" s="3"/>
    </row>
    <row r="1083" spans="2:7" customFormat="1" ht="14.25" x14ac:dyDescent="0.2">
      <c r="B1083" s="26" t="s">
        <v>1185</v>
      </c>
      <c r="E1083" s="24">
        <v>30000</v>
      </c>
      <c r="G1083" s="3"/>
    </row>
    <row r="1084" spans="2:7" customFormat="1" ht="14.25" x14ac:dyDescent="0.2">
      <c r="B1084" s="26" t="s">
        <v>1186</v>
      </c>
      <c r="E1084" s="24">
        <v>5000</v>
      </c>
      <c r="G1084" s="3"/>
    </row>
    <row r="1085" spans="2:7" customFormat="1" ht="14.25" x14ac:dyDescent="0.2">
      <c r="B1085" s="26" t="s">
        <v>1187</v>
      </c>
      <c r="E1085" s="24">
        <v>6000</v>
      </c>
      <c r="G1085" s="3"/>
    </row>
    <row r="1086" spans="2:7" customFormat="1" ht="14.25" x14ac:dyDescent="0.2">
      <c r="B1086" s="26" t="s">
        <v>1188</v>
      </c>
      <c r="E1086" s="24">
        <v>7000</v>
      </c>
      <c r="G1086" s="3"/>
    </row>
    <row r="1087" spans="2:7" customFormat="1" ht="14.25" x14ac:dyDescent="0.2">
      <c r="B1087" s="26" t="s">
        <v>1189</v>
      </c>
      <c r="E1087" s="24">
        <v>6000</v>
      </c>
      <c r="G1087" s="3"/>
    </row>
    <row r="1088" spans="2:7" customFormat="1" ht="14.25" x14ac:dyDescent="0.2">
      <c r="B1088" s="26" t="s">
        <v>1190</v>
      </c>
      <c r="E1088" s="24">
        <v>7000</v>
      </c>
      <c r="G1088" s="3"/>
    </row>
    <row r="1089" spans="2:7" customFormat="1" ht="14.25" x14ac:dyDescent="0.2">
      <c r="B1089" s="26" t="s">
        <v>1191</v>
      </c>
      <c r="E1089" s="24">
        <v>8000</v>
      </c>
      <c r="G1089" s="3"/>
    </row>
    <row r="1090" spans="2:7" customFormat="1" ht="18" customHeight="1" x14ac:dyDescent="0.2">
      <c r="B1090" s="26" t="s">
        <v>1192</v>
      </c>
      <c r="E1090" s="24">
        <v>5500</v>
      </c>
      <c r="G1090" s="3"/>
    </row>
    <row r="1091" spans="2:7" customFormat="1" ht="16.149999999999999" customHeight="1" x14ac:dyDescent="0.2">
      <c r="B1091" s="26" t="s">
        <v>1193</v>
      </c>
      <c r="E1091" s="24">
        <v>6000</v>
      </c>
      <c r="G1091" s="3"/>
    </row>
    <row r="1092" spans="2:7" customFormat="1" ht="14.25" x14ac:dyDescent="0.2">
      <c r="B1092" s="26" t="s">
        <v>1194</v>
      </c>
      <c r="E1092" s="24">
        <v>4000</v>
      </c>
      <c r="G1092" s="3"/>
    </row>
    <row r="1093" spans="2:7" customFormat="1" ht="14.25" x14ac:dyDescent="0.2">
      <c r="B1093" s="26" t="s">
        <v>1195</v>
      </c>
      <c r="E1093" s="24">
        <v>4500</v>
      </c>
      <c r="G1093" s="3"/>
    </row>
    <row r="1094" spans="2:7" customFormat="1" ht="14.25" x14ac:dyDescent="0.2">
      <c r="B1094" s="26" t="s">
        <v>1196</v>
      </c>
      <c r="E1094" s="24">
        <v>5000</v>
      </c>
      <c r="G1094" s="3"/>
    </row>
    <row r="1095" spans="2:7" customFormat="1" ht="14.25" x14ac:dyDescent="0.2">
      <c r="B1095" s="26" t="s">
        <v>1197</v>
      </c>
      <c r="E1095" s="24">
        <v>6000</v>
      </c>
      <c r="G1095" s="3"/>
    </row>
    <row r="1096" spans="2:7" customFormat="1" ht="14.25" x14ac:dyDescent="0.2">
      <c r="B1096" s="26" t="s">
        <v>1198</v>
      </c>
      <c r="E1096" s="24">
        <v>7000</v>
      </c>
      <c r="G1096" s="3"/>
    </row>
    <row r="1097" spans="2:7" customFormat="1" ht="14.25" x14ac:dyDescent="0.2">
      <c r="B1097" s="26" t="s">
        <v>1199</v>
      </c>
      <c r="E1097" s="24">
        <v>8000</v>
      </c>
      <c r="G1097" s="3"/>
    </row>
    <row r="1098" spans="2:7" customFormat="1" ht="14.25" x14ac:dyDescent="0.2">
      <c r="B1098" s="26" t="s">
        <v>1200</v>
      </c>
      <c r="E1098" s="24">
        <v>9500</v>
      </c>
      <c r="G1098" s="3"/>
    </row>
    <row r="1099" spans="2:7" customFormat="1" ht="14.25" x14ac:dyDescent="0.2">
      <c r="B1099" s="26" t="s">
        <v>1201</v>
      </c>
      <c r="E1099" s="24">
        <v>6000</v>
      </c>
      <c r="G1099" s="3"/>
    </row>
    <row r="1100" spans="2:7" customFormat="1" ht="14.25" x14ac:dyDescent="0.2">
      <c r="B1100" s="26" t="s">
        <v>1202</v>
      </c>
      <c r="E1100" s="24">
        <v>7000</v>
      </c>
      <c r="G1100" s="3"/>
    </row>
    <row r="1101" spans="2:7" customFormat="1" ht="14.25" x14ac:dyDescent="0.2">
      <c r="B1101" s="26" t="s">
        <v>1203</v>
      </c>
      <c r="E1101" s="24">
        <v>8000</v>
      </c>
      <c r="G1101" s="3"/>
    </row>
    <row r="1102" spans="2:7" customFormat="1" ht="14.25" x14ac:dyDescent="0.2">
      <c r="B1102" s="26" t="s">
        <v>1204</v>
      </c>
      <c r="E1102" s="24">
        <v>6000</v>
      </c>
      <c r="G1102" s="3"/>
    </row>
    <row r="1103" spans="2:7" customFormat="1" ht="14.25" x14ac:dyDescent="0.2">
      <c r="B1103" s="26" t="s">
        <v>1205</v>
      </c>
      <c r="E1103" s="24">
        <v>7000</v>
      </c>
      <c r="G1103" s="3"/>
    </row>
    <row r="1104" spans="2:7" customFormat="1" ht="14.25" x14ac:dyDescent="0.2">
      <c r="B1104" s="26" t="s">
        <v>1206</v>
      </c>
      <c r="E1104" s="24">
        <v>8000</v>
      </c>
      <c r="G1104" s="3"/>
    </row>
    <row r="1105" spans="2:7" customFormat="1" ht="14.25" x14ac:dyDescent="0.2">
      <c r="B1105" s="26" t="s">
        <v>1207</v>
      </c>
      <c r="E1105" s="24">
        <v>10000</v>
      </c>
      <c r="G1105" s="3"/>
    </row>
    <row r="1106" spans="2:7" customFormat="1" ht="14.25" x14ac:dyDescent="0.2">
      <c r="B1106" s="26" t="s">
        <v>1208</v>
      </c>
      <c r="E1106" s="24">
        <v>6000</v>
      </c>
      <c r="G1106" s="3"/>
    </row>
    <row r="1107" spans="2:7" customFormat="1" ht="14.25" x14ac:dyDescent="0.2">
      <c r="B1107" s="26" t="s">
        <v>1209</v>
      </c>
      <c r="E1107" s="24">
        <v>7000</v>
      </c>
      <c r="G1107" s="3"/>
    </row>
    <row r="1108" spans="2:7" customFormat="1" ht="14.25" x14ac:dyDescent="0.2">
      <c r="B1108" s="26" t="s">
        <v>1210</v>
      </c>
      <c r="E1108" s="24">
        <v>8000</v>
      </c>
      <c r="G1108" s="3"/>
    </row>
    <row r="1109" spans="2:7" customFormat="1" ht="14.25" x14ac:dyDescent="0.2">
      <c r="B1109" s="26" t="s">
        <v>1211</v>
      </c>
      <c r="E1109" s="24">
        <v>10000</v>
      </c>
      <c r="G1109" s="3"/>
    </row>
    <row r="1110" spans="2:7" customFormat="1" ht="14.25" x14ac:dyDescent="0.2">
      <c r="B1110" s="26" t="s">
        <v>1212</v>
      </c>
      <c r="E1110" s="24">
        <v>20000</v>
      </c>
      <c r="G1110" s="3"/>
    </row>
    <row r="1111" spans="2:7" customFormat="1" ht="14.25" x14ac:dyDescent="0.2">
      <c r="B1111" s="26" t="s">
        <v>1213</v>
      </c>
      <c r="E1111" s="24">
        <v>22000</v>
      </c>
      <c r="G1111" s="3"/>
    </row>
    <row r="1112" spans="2:7" customFormat="1" ht="14.25" x14ac:dyDescent="0.2">
      <c r="B1112" s="26" t="s">
        <v>1214</v>
      </c>
      <c r="E1112" s="24">
        <v>25000</v>
      </c>
      <c r="G1112" s="3"/>
    </row>
    <row r="1113" spans="2:7" customFormat="1" ht="14.25" x14ac:dyDescent="0.2">
      <c r="B1113" s="26" t="s">
        <v>1215</v>
      </c>
      <c r="E1113" s="24">
        <v>28000</v>
      </c>
      <c r="G1113" s="3"/>
    </row>
    <row r="1114" spans="2:7" customFormat="1" ht="14.25" x14ac:dyDescent="0.2">
      <c r="B1114" s="26" t="s">
        <v>1216</v>
      </c>
      <c r="E1114" s="24">
        <v>7000</v>
      </c>
      <c r="G1114" s="3"/>
    </row>
    <row r="1115" spans="2:7" customFormat="1" ht="14.25" x14ac:dyDescent="0.2">
      <c r="B1115" s="26" t="s">
        <v>1217</v>
      </c>
      <c r="E1115" s="24">
        <v>7500</v>
      </c>
      <c r="G1115" s="3"/>
    </row>
    <row r="1116" spans="2:7" customFormat="1" ht="14.25" x14ac:dyDescent="0.2">
      <c r="B1116" s="26" t="s">
        <v>1218</v>
      </c>
      <c r="E1116" s="24">
        <v>8000</v>
      </c>
      <c r="G1116" s="3"/>
    </row>
    <row r="1117" spans="2:7" customFormat="1" ht="14.25" x14ac:dyDescent="0.2">
      <c r="B1117" s="26" t="s">
        <v>1219</v>
      </c>
      <c r="E1117" s="24">
        <v>8500</v>
      </c>
      <c r="G1117" s="3"/>
    </row>
    <row r="1118" spans="2:7" customFormat="1" ht="14.25" x14ac:dyDescent="0.2">
      <c r="B1118" s="26" t="s">
        <v>1220</v>
      </c>
      <c r="E1118" s="24">
        <v>3500</v>
      </c>
      <c r="G1118" s="3"/>
    </row>
    <row r="1119" spans="2:7" customFormat="1" ht="14.25" x14ac:dyDescent="0.2">
      <c r="B1119" s="26" t="s">
        <v>1221</v>
      </c>
      <c r="E1119" s="24">
        <v>4000</v>
      </c>
      <c r="G1119" s="3"/>
    </row>
    <row r="1120" spans="2:7" customFormat="1" ht="14.25" x14ac:dyDescent="0.2">
      <c r="B1120" s="26" t="s">
        <v>1222</v>
      </c>
      <c r="E1120" s="24">
        <v>5000</v>
      </c>
      <c r="G1120" s="3"/>
    </row>
    <row r="1121" spans="2:7" customFormat="1" ht="14.25" x14ac:dyDescent="0.2">
      <c r="B1121" s="26" t="s">
        <v>1223</v>
      </c>
      <c r="E1121" s="24">
        <v>8000</v>
      </c>
      <c r="G1121" s="3"/>
    </row>
    <row r="1122" spans="2:7" customFormat="1" ht="14.25" x14ac:dyDescent="0.2">
      <c r="B1122" s="26" t="s">
        <v>1224</v>
      </c>
      <c r="E1122" s="24">
        <v>9000</v>
      </c>
      <c r="G1122" s="3"/>
    </row>
    <row r="1123" spans="2:7" customFormat="1" ht="14.25" x14ac:dyDescent="0.2">
      <c r="B1123" s="26" t="s">
        <v>1225</v>
      </c>
      <c r="E1123" s="24">
        <v>10000</v>
      </c>
      <c r="G1123" s="3"/>
    </row>
    <row r="1124" spans="2:7" customFormat="1" ht="14.25" x14ac:dyDescent="0.2">
      <c r="B1124" s="26" t="s">
        <v>1226</v>
      </c>
      <c r="E1124" s="24">
        <v>10000</v>
      </c>
      <c r="G1124" s="3"/>
    </row>
    <row r="1125" spans="2:7" customFormat="1" ht="14.25" x14ac:dyDescent="0.2">
      <c r="B1125" s="26" t="s">
        <v>1227</v>
      </c>
      <c r="E1125" s="24">
        <v>12000</v>
      </c>
      <c r="G1125" s="3"/>
    </row>
    <row r="1126" spans="2:7" customFormat="1" ht="14.25" x14ac:dyDescent="0.2">
      <c r="B1126" s="26" t="s">
        <v>1228</v>
      </c>
      <c r="E1126" s="24">
        <v>15000</v>
      </c>
      <c r="G1126" s="3"/>
    </row>
    <row r="1127" spans="2:7" customFormat="1" ht="14.25" x14ac:dyDescent="0.2">
      <c r="B1127" s="26" t="s">
        <v>1229</v>
      </c>
      <c r="E1127" s="24">
        <v>10000</v>
      </c>
      <c r="G1127" s="3"/>
    </row>
    <row r="1128" spans="2:7" customFormat="1" ht="14.25" x14ac:dyDescent="0.2">
      <c r="B1128" s="26" t="s">
        <v>1230</v>
      </c>
      <c r="E1128" s="24">
        <v>12000</v>
      </c>
      <c r="G1128" s="3"/>
    </row>
    <row r="1129" spans="2:7" customFormat="1" ht="14.25" x14ac:dyDescent="0.2">
      <c r="B1129" s="26" t="s">
        <v>1231</v>
      </c>
      <c r="E1129" s="24">
        <v>15000</v>
      </c>
      <c r="G1129" s="3"/>
    </row>
    <row r="1130" spans="2:7" customFormat="1" ht="14.25" x14ac:dyDescent="0.2">
      <c r="B1130" s="26" t="s">
        <v>1232</v>
      </c>
      <c r="E1130" s="24">
        <v>2000</v>
      </c>
      <c r="G1130" s="3"/>
    </row>
    <row r="1131" spans="2:7" customFormat="1" ht="14.25" x14ac:dyDescent="0.2">
      <c r="B1131" s="26" t="s">
        <v>1233</v>
      </c>
      <c r="E1131" s="24">
        <v>8000</v>
      </c>
      <c r="G1131" s="3"/>
    </row>
    <row r="1132" spans="2:7" customFormat="1" ht="14.25" x14ac:dyDescent="0.2">
      <c r="B1132" s="26" t="s">
        <v>1234</v>
      </c>
      <c r="E1132" s="24">
        <v>9000</v>
      </c>
      <c r="G1132" s="3"/>
    </row>
    <row r="1133" spans="2:7" customFormat="1" ht="14.25" x14ac:dyDescent="0.2">
      <c r="B1133" s="26" t="s">
        <v>1235</v>
      </c>
      <c r="E1133" s="24">
        <v>10000</v>
      </c>
      <c r="G1133" s="3"/>
    </row>
    <row r="1134" spans="2:7" customFormat="1" ht="14.25" x14ac:dyDescent="0.2">
      <c r="B1134" s="26" t="s">
        <v>1236</v>
      </c>
      <c r="E1134" s="24">
        <v>4000</v>
      </c>
      <c r="G1134" s="3"/>
    </row>
    <row r="1135" spans="2:7" customFormat="1" ht="14.25" x14ac:dyDescent="0.2">
      <c r="B1135" s="26" t="s">
        <v>1237</v>
      </c>
      <c r="E1135" s="24">
        <v>4500</v>
      </c>
      <c r="G1135" s="3"/>
    </row>
    <row r="1136" spans="2:7" customFormat="1" ht="14.25" x14ac:dyDescent="0.2">
      <c r="B1136" s="26" t="s">
        <v>1238</v>
      </c>
      <c r="E1136" s="24">
        <v>5000</v>
      </c>
      <c r="G1136" s="3"/>
    </row>
    <row r="1137" spans="2:7" customFormat="1" ht="14.25" x14ac:dyDescent="0.2">
      <c r="B1137" s="26" t="s">
        <v>1239</v>
      </c>
      <c r="E1137" s="24">
        <v>5500</v>
      </c>
      <c r="G1137" s="3"/>
    </row>
    <row r="1138" spans="2:7" customFormat="1" ht="14.25" x14ac:dyDescent="0.2">
      <c r="B1138" s="26" t="s">
        <v>1240</v>
      </c>
      <c r="E1138" s="24">
        <v>3000</v>
      </c>
      <c r="G1138" s="3"/>
    </row>
    <row r="1139" spans="2:7" customFormat="1" ht="14.25" x14ac:dyDescent="0.2">
      <c r="B1139" s="26" t="s">
        <v>1241</v>
      </c>
      <c r="E1139" s="24">
        <v>4000</v>
      </c>
      <c r="G1139" s="3"/>
    </row>
    <row r="1140" spans="2:7" customFormat="1" ht="14.25" x14ac:dyDescent="0.2">
      <c r="B1140" s="26" t="s">
        <v>1242</v>
      </c>
      <c r="E1140" s="24">
        <v>5000</v>
      </c>
      <c r="G1140" s="3"/>
    </row>
    <row r="1141" spans="2:7" customFormat="1" ht="14.25" x14ac:dyDescent="0.2">
      <c r="B1141" s="26" t="s">
        <v>1243</v>
      </c>
      <c r="E1141" s="24">
        <v>5000</v>
      </c>
      <c r="G1141" s="3"/>
    </row>
    <row r="1142" spans="2:7" customFormat="1" ht="14.25" x14ac:dyDescent="0.2">
      <c r="B1142" s="26" t="s">
        <v>1244</v>
      </c>
      <c r="E1142" s="24">
        <v>5500</v>
      </c>
      <c r="G1142" s="3"/>
    </row>
    <row r="1143" spans="2:7" customFormat="1" ht="14.25" x14ac:dyDescent="0.2">
      <c r="B1143" s="26" t="s">
        <v>1245</v>
      </c>
      <c r="E1143" s="24">
        <v>6000</v>
      </c>
      <c r="G1143" s="3"/>
    </row>
    <row r="1144" spans="2:7" customFormat="1" ht="14.25" x14ac:dyDescent="0.2">
      <c r="B1144" s="31" t="s">
        <v>32</v>
      </c>
      <c r="E1144" s="24"/>
    </row>
    <row r="1145" spans="2:7" customFormat="1" ht="14.25" x14ac:dyDescent="0.2">
      <c r="B1145" s="26" t="s">
        <v>1246</v>
      </c>
      <c r="E1145" s="38">
        <v>500</v>
      </c>
      <c r="G1145" s="3"/>
    </row>
    <row r="1146" spans="2:7" customFormat="1" ht="14.25" x14ac:dyDescent="0.2">
      <c r="B1146" s="26" t="s">
        <v>1247</v>
      </c>
      <c r="E1146" s="38">
        <v>1500</v>
      </c>
      <c r="G1146" s="3"/>
    </row>
    <row r="1147" spans="2:7" customFormat="1" ht="14.25" x14ac:dyDescent="0.2">
      <c r="B1147" s="43" t="s">
        <v>137</v>
      </c>
      <c r="E1147" s="38"/>
    </row>
    <row r="1148" spans="2:7" customFormat="1" ht="14.25" x14ac:dyDescent="0.2">
      <c r="B1148" s="26" t="s">
        <v>1248</v>
      </c>
      <c r="E1148" s="38">
        <v>3000</v>
      </c>
      <c r="G1148" s="3"/>
    </row>
    <row r="1149" spans="2:7" customFormat="1" ht="14.25" x14ac:dyDescent="0.2">
      <c r="B1149" s="26" t="s">
        <v>1249</v>
      </c>
      <c r="E1149" s="38">
        <v>4000</v>
      </c>
      <c r="G1149" s="3"/>
    </row>
    <row r="1150" spans="2:7" customFormat="1" ht="14.25" x14ac:dyDescent="0.2">
      <c r="B1150" s="26" t="s">
        <v>1250</v>
      </c>
      <c r="E1150" s="38">
        <v>5000</v>
      </c>
      <c r="G1150" s="3"/>
    </row>
    <row r="1151" spans="2:7" customFormat="1" ht="14.25" x14ac:dyDescent="0.2">
      <c r="B1151" s="26" t="s">
        <v>1251</v>
      </c>
      <c r="E1151" s="38">
        <v>4500</v>
      </c>
      <c r="G1151" s="3"/>
    </row>
    <row r="1152" spans="2:7" customFormat="1" ht="14.25" x14ac:dyDescent="0.2">
      <c r="B1152" s="26" t="s">
        <v>1252</v>
      </c>
      <c r="E1152" s="38">
        <v>5500</v>
      </c>
      <c r="G1152" s="3"/>
    </row>
    <row r="1153" spans="2:7" customFormat="1" ht="14.25" x14ac:dyDescent="0.2">
      <c r="B1153" s="26" t="s">
        <v>1253</v>
      </c>
      <c r="E1153" s="38">
        <v>8000</v>
      </c>
      <c r="G1153" s="3"/>
    </row>
    <row r="1154" spans="2:7" customFormat="1" ht="14.25" x14ac:dyDescent="0.2">
      <c r="B1154" s="26" t="s">
        <v>1254</v>
      </c>
      <c r="E1154" s="38">
        <v>2000</v>
      </c>
      <c r="G1154" s="3"/>
    </row>
    <row r="1155" spans="2:7" customFormat="1" ht="14.25" x14ac:dyDescent="0.2">
      <c r="B1155" s="26" t="s">
        <v>1255</v>
      </c>
      <c r="E1155" s="38">
        <v>3000</v>
      </c>
      <c r="G1155" s="3"/>
    </row>
    <row r="1156" spans="2:7" customFormat="1" ht="14.25" x14ac:dyDescent="0.2">
      <c r="B1156" s="26" t="s">
        <v>1256</v>
      </c>
      <c r="E1156" s="24">
        <v>250</v>
      </c>
      <c r="G1156" s="3"/>
    </row>
    <row r="1157" spans="2:7" customFormat="1" ht="14.25" x14ac:dyDescent="0.2">
      <c r="B1157" s="26" t="s">
        <v>1257</v>
      </c>
      <c r="E1157" s="24">
        <v>250</v>
      </c>
      <c r="G1157" s="3"/>
    </row>
    <row r="1158" spans="2:7" customFormat="1" ht="14.25" x14ac:dyDescent="0.2">
      <c r="B1158" s="26" t="s">
        <v>1258</v>
      </c>
      <c r="E1158" s="24">
        <v>500</v>
      </c>
      <c r="G1158" s="3"/>
    </row>
    <row r="1159" spans="2:7" customFormat="1" ht="14.25" x14ac:dyDescent="0.2">
      <c r="B1159" s="26" t="s">
        <v>1259</v>
      </c>
      <c r="E1159" s="24">
        <v>800</v>
      </c>
      <c r="G1159" s="3"/>
    </row>
    <row r="1160" spans="2:7" customFormat="1" ht="14.25" x14ac:dyDescent="0.2">
      <c r="B1160" s="26" t="s">
        <v>1260</v>
      </c>
      <c r="E1160" s="24">
        <v>300</v>
      </c>
      <c r="G1160" s="3"/>
    </row>
    <row r="1161" spans="2:7" customFormat="1" ht="14.25" x14ac:dyDescent="0.2">
      <c r="B1161" s="26" t="s">
        <v>1261</v>
      </c>
      <c r="E1161" s="24">
        <v>300</v>
      </c>
      <c r="G1161" s="3"/>
    </row>
    <row r="1162" spans="2:7" customFormat="1" ht="14.25" x14ac:dyDescent="0.2">
      <c r="B1162" s="26" t="s">
        <v>1262</v>
      </c>
      <c r="E1162" s="24">
        <v>350</v>
      </c>
      <c r="G1162" s="3"/>
    </row>
    <row r="1163" spans="2:7" customFormat="1" ht="14.25" x14ac:dyDescent="0.2">
      <c r="B1163" s="26" t="s">
        <v>1263</v>
      </c>
      <c r="E1163" s="24">
        <v>2500</v>
      </c>
      <c r="G1163" s="3"/>
    </row>
    <row r="1164" spans="2:7" customFormat="1" ht="14.25" x14ac:dyDescent="0.2">
      <c r="B1164" s="26" t="s">
        <v>1264</v>
      </c>
      <c r="E1164" s="24">
        <v>3000</v>
      </c>
      <c r="G1164" s="3"/>
    </row>
    <row r="1165" spans="2:7" customFormat="1" ht="14.25" x14ac:dyDescent="0.2">
      <c r="B1165" s="26" t="s">
        <v>1265</v>
      </c>
      <c r="E1165" s="24">
        <v>4000</v>
      </c>
      <c r="G1165" s="3"/>
    </row>
    <row r="1166" spans="2:7" customFormat="1" ht="14.25" x14ac:dyDescent="0.2">
      <c r="B1166" s="26" t="s">
        <v>1266</v>
      </c>
      <c r="E1166" s="24">
        <v>100</v>
      </c>
      <c r="G1166" s="3"/>
    </row>
    <row r="1167" spans="2:7" customFormat="1" ht="14.25" x14ac:dyDescent="0.2">
      <c r="B1167" s="26" t="s">
        <v>1267</v>
      </c>
      <c r="E1167" s="24">
        <v>100</v>
      </c>
      <c r="G1167" s="3"/>
    </row>
    <row r="1168" spans="2:7" customFormat="1" ht="14.25" x14ac:dyDescent="0.2">
      <c r="B1168" s="26" t="s">
        <v>1268</v>
      </c>
      <c r="E1168" s="24">
        <v>250</v>
      </c>
      <c r="G1168" s="3"/>
    </row>
    <row r="1169" spans="2:7" customFormat="1" ht="14.25" x14ac:dyDescent="0.2">
      <c r="B1169" s="26" t="s">
        <v>1269</v>
      </c>
      <c r="E1169" s="24">
        <v>250</v>
      </c>
      <c r="G1169" s="3"/>
    </row>
    <row r="1170" spans="2:7" customFormat="1" ht="14.25" x14ac:dyDescent="0.2">
      <c r="B1170" s="26" t="s">
        <v>1270</v>
      </c>
      <c r="E1170" s="24">
        <v>200</v>
      </c>
      <c r="G1170" s="3"/>
    </row>
    <row r="1171" spans="2:7" customFormat="1" ht="14.25" x14ac:dyDescent="0.2">
      <c r="B1171" s="26" t="s">
        <v>1271</v>
      </c>
      <c r="E1171" s="24">
        <v>250</v>
      </c>
      <c r="G1171" s="3"/>
    </row>
    <row r="1172" spans="2:7" customFormat="1" ht="14.25" x14ac:dyDescent="0.2">
      <c r="B1172" s="26" t="s">
        <v>1272</v>
      </c>
      <c r="E1172" s="24">
        <v>300</v>
      </c>
      <c r="G1172" s="3"/>
    </row>
    <row r="1173" spans="2:7" customFormat="1" ht="14.25" x14ac:dyDescent="0.2">
      <c r="B1173" s="26" t="s">
        <v>1273</v>
      </c>
      <c r="E1173" s="24">
        <v>200</v>
      </c>
      <c r="G1173" s="3"/>
    </row>
    <row r="1174" spans="2:7" customFormat="1" ht="14.25" x14ac:dyDescent="0.2">
      <c r="B1174" s="26"/>
      <c r="E1174" s="36"/>
    </row>
    <row r="1175" spans="2:7" customFormat="1" ht="14.25" x14ac:dyDescent="0.2">
      <c r="B1175" s="26"/>
      <c r="E1175" s="36"/>
    </row>
    <row r="1176" spans="2:7" customFormat="1" ht="14.25" x14ac:dyDescent="0.2">
      <c r="B1176" s="26"/>
      <c r="E1176" s="36"/>
    </row>
    <row r="1177" spans="2:7" customFormat="1" ht="14.25" x14ac:dyDescent="0.2">
      <c r="B1177" s="26"/>
      <c r="E1177" s="36"/>
    </row>
    <row r="1178" spans="2:7" customFormat="1" ht="14.25" x14ac:dyDescent="0.2">
      <c r="B1178" s="26"/>
      <c r="E1178" s="36"/>
    </row>
    <row r="1179" spans="2:7" customFormat="1" ht="14.25" x14ac:dyDescent="0.2">
      <c r="B1179" s="26"/>
      <c r="E1179" s="36"/>
    </row>
    <row r="1180" spans="2:7" customFormat="1" ht="14.25" x14ac:dyDescent="0.2">
      <c r="B1180" s="26"/>
      <c r="E1180" s="36"/>
    </row>
    <row r="1181" spans="2:7" customFormat="1" ht="14.25" x14ac:dyDescent="0.2">
      <c r="B1181" s="26"/>
      <c r="E1181" s="36"/>
    </row>
    <row r="1182" spans="2:7" customFormat="1" ht="14.25" x14ac:dyDescent="0.2">
      <c r="B1182" s="26"/>
      <c r="E1182" s="36"/>
    </row>
    <row r="1183" spans="2:7" customFormat="1" ht="14.25" x14ac:dyDescent="0.2">
      <c r="B1183" s="26"/>
      <c r="E1183" s="36"/>
    </row>
    <row r="1184" spans="2:7" customFormat="1" ht="14.25" x14ac:dyDescent="0.2">
      <c r="B1184" s="26"/>
      <c r="E1184" s="36"/>
    </row>
    <row r="1185" spans="2:5" customFormat="1" ht="14.25" x14ac:dyDescent="0.2">
      <c r="B1185" s="26"/>
      <c r="E1185" s="36"/>
    </row>
    <row r="1186" spans="2:5" customFormat="1" ht="14.25" x14ac:dyDescent="0.2">
      <c r="B1186" s="26"/>
      <c r="E1186" s="36"/>
    </row>
    <row r="1187" spans="2:5" customFormat="1" ht="14.25" x14ac:dyDescent="0.2">
      <c r="B1187" s="26"/>
      <c r="E1187" s="36"/>
    </row>
    <row r="1188" spans="2:5" customFormat="1" ht="14.25" x14ac:dyDescent="0.2">
      <c r="B1188" s="26"/>
      <c r="E1188" s="36"/>
    </row>
    <row r="1189" spans="2:5" customFormat="1" ht="14.25" x14ac:dyDescent="0.2">
      <c r="B1189" s="26"/>
      <c r="E1189" s="36"/>
    </row>
    <row r="1190" spans="2:5" customFormat="1" ht="14.25" x14ac:dyDescent="0.2">
      <c r="B1190" s="26"/>
      <c r="E1190" s="36"/>
    </row>
    <row r="1191" spans="2:5" customFormat="1" ht="14.25" x14ac:dyDescent="0.2">
      <c r="B1191" s="26"/>
      <c r="E1191" s="36"/>
    </row>
    <row r="1192" spans="2:5" customFormat="1" ht="14.25" x14ac:dyDescent="0.2">
      <c r="B1192" s="26"/>
      <c r="E1192" s="36"/>
    </row>
    <row r="1193" spans="2:5" customFormat="1" ht="14.25" x14ac:dyDescent="0.2">
      <c r="B1193" s="26"/>
      <c r="E1193" s="36"/>
    </row>
    <row r="1194" spans="2:5" customFormat="1" ht="14.25" x14ac:dyDescent="0.2">
      <c r="B1194" s="26"/>
      <c r="E1194" s="36"/>
    </row>
    <row r="1195" spans="2:5" customFormat="1" ht="14.25" x14ac:dyDescent="0.2">
      <c r="B1195" s="26"/>
      <c r="E1195" s="36"/>
    </row>
    <row r="1196" spans="2:5" customFormat="1" ht="14.25" x14ac:dyDescent="0.2">
      <c r="B1196" s="26"/>
      <c r="E1196" s="36"/>
    </row>
    <row r="1197" spans="2:5" customFormat="1" ht="14.25" x14ac:dyDescent="0.2">
      <c r="B1197" s="26"/>
      <c r="E1197" s="36"/>
    </row>
    <row r="1198" spans="2:5" customFormat="1" ht="14.25" x14ac:dyDescent="0.2">
      <c r="B1198" s="26"/>
      <c r="E1198" s="36"/>
    </row>
    <row r="1199" spans="2:5" customFormat="1" ht="14.25" x14ac:dyDescent="0.2">
      <c r="B1199" s="26"/>
      <c r="E1199" s="36"/>
    </row>
    <row r="1200" spans="2:5" customFormat="1" ht="14.25" x14ac:dyDescent="0.2">
      <c r="B1200" s="26"/>
      <c r="E1200" s="36"/>
    </row>
    <row r="1201" spans="2:5" customFormat="1" ht="14.25" x14ac:dyDescent="0.2">
      <c r="B1201" s="26"/>
      <c r="E1201" s="36"/>
    </row>
    <row r="1202" spans="2:5" customFormat="1" ht="14.25" x14ac:dyDescent="0.2">
      <c r="B1202" s="26"/>
      <c r="E1202" s="36"/>
    </row>
    <row r="1203" spans="2:5" customFormat="1" ht="14.25" x14ac:dyDescent="0.2">
      <c r="B1203" s="26"/>
      <c r="E1203" s="36"/>
    </row>
    <row r="1204" spans="2:5" customFormat="1" ht="14.25" x14ac:dyDescent="0.2">
      <c r="B1204" s="26"/>
      <c r="E1204" s="36"/>
    </row>
    <row r="1205" spans="2:5" customFormat="1" ht="14.25" x14ac:dyDescent="0.2">
      <c r="B1205" s="26"/>
      <c r="E1205" s="36"/>
    </row>
    <row r="1206" spans="2:5" customFormat="1" ht="14.25" x14ac:dyDescent="0.2">
      <c r="B1206" s="26"/>
      <c r="E1206" s="36"/>
    </row>
    <row r="1207" spans="2:5" customFormat="1" ht="14.25" x14ac:dyDescent="0.2">
      <c r="B1207" s="26"/>
      <c r="E1207" s="36"/>
    </row>
    <row r="1208" spans="2:5" customFormat="1" ht="14.25" x14ac:dyDescent="0.2">
      <c r="B1208" s="26"/>
      <c r="E1208" s="36"/>
    </row>
    <row r="1209" spans="2:5" customFormat="1" ht="14.25" x14ac:dyDescent="0.2">
      <c r="B1209" s="26"/>
      <c r="E1209" s="36"/>
    </row>
    <row r="1210" spans="2:5" customFormat="1" ht="14.25" x14ac:dyDescent="0.2">
      <c r="B1210" s="26"/>
      <c r="E1210" s="36"/>
    </row>
    <row r="1211" spans="2:5" customFormat="1" ht="14.25" x14ac:dyDescent="0.2">
      <c r="B1211" s="26"/>
      <c r="E1211" s="36"/>
    </row>
    <row r="1212" spans="2:5" customFormat="1" ht="14.25" x14ac:dyDescent="0.2">
      <c r="B1212" s="26"/>
      <c r="E1212" s="36"/>
    </row>
    <row r="1213" spans="2:5" customFormat="1" ht="14.25" x14ac:dyDescent="0.2">
      <c r="B1213" s="26"/>
      <c r="E1213" s="36"/>
    </row>
    <row r="1214" spans="2:5" customFormat="1" ht="14.25" x14ac:dyDescent="0.2">
      <c r="B1214" s="26"/>
      <c r="E1214" s="36"/>
    </row>
    <row r="1215" spans="2:5" customFormat="1" ht="14.25" x14ac:dyDescent="0.2">
      <c r="B1215" s="26"/>
      <c r="E1215" s="36"/>
    </row>
    <row r="1216" spans="2:5" customFormat="1" ht="14.25" x14ac:dyDescent="0.2">
      <c r="B1216" s="26"/>
      <c r="E1216" s="36"/>
    </row>
    <row r="1217" spans="2:5" customFormat="1" ht="14.25" x14ac:dyDescent="0.2">
      <c r="B1217" s="26"/>
      <c r="E1217" s="36"/>
    </row>
    <row r="1218" spans="2:5" customFormat="1" ht="14.25" x14ac:dyDescent="0.2">
      <c r="B1218" s="26"/>
      <c r="E1218" s="36"/>
    </row>
    <row r="1219" spans="2:5" customFormat="1" ht="14.25" x14ac:dyDescent="0.2">
      <c r="B1219" s="26"/>
      <c r="E1219" s="36"/>
    </row>
    <row r="1220" spans="2:5" customFormat="1" ht="14.25" x14ac:dyDescent="0.2">
      <c r="B1220" s="26"/>
      <c r="E1220" s="36"/>
    </row>
    <row r="1221" spans="2:5" customFormat="1" ht="14.25" x14ac:dyDescent="0.2">
      <c r="B1221" s="26"/>
      <c r="E1221" s="36"/>
    </row>
    <row r="1222" spans="2:5" customFormat="1" ht="14.25" x14ac:dyDescent="0.2">
      <c r="B1222" s="26"/>
      <c r="E1222" s="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D08D-3E4D-408A-9928-D37AA3566863}">
  <dimension ref="A1:H117"/>
  <sheetViews>
    <sheetView workbookViewId="0">
      <selection activeCell="B7" sqref="B7"/>
    </sheetView>
  </sheetViews>
  <sheetFormatPr defaultColWidth="14.5" defaultRowHeight="14.25" x14ac:dyDescent="0.2"/>
  <cols>
    <col min="1" max="1" width="11.125" bestFit="1" customWidth="1"/>
    <col min="2" max="2" width="58.375" bestFit="1" customWidth="1"/>
    <col min="3" max="3" width="15.5" bestFit="1" customWidth="1"/>
    <col min="4" max="4" width="56.375" bestFit="1" customWidth="1"/>
    <col min="5" max="5" width="10.125" bestFit="1" customWidth="1"/>
    <col min="6" max="6" width="8.625" style="10" bestFit="1" customWidth="1"/>
    <col min="7" max="7" width="11.5" bestFit="1" customWidth="1"/>
    <col min="8" max="8" width="5" bestFit="1" customWidth="1"/>
  </cols>
  <sheetData>
    <row r="1" spans="1:8" ht="15.75" customHeight="1" x14ac:dyDescent="0.2">
      <c r="A1" s="12" t="s">
        <v>0</v>
      </c>
      <c r="B1" s="12" t="s">
        <v>1</v>
      </c>
      <c r="C1" s="12" t="s">
        <v>35</v>
      </c>
      <c r="D1" s="12" t="s">
        <v>36</v>
      </c>
      <c r="E1" s="12" t="s">
        <v>3</v>
      </c>
      <c r="F1" s="13" t="s">
        <v>4</v>
      </c>
      <c r="G1" s="12" t="s">
        <v>37</v>
      </c>
      <c r="H1" s="12" t="s">
        <v>5</v>
      </c>
    </row>
    <row r="3" spans="1:8" x14ac:dyDescent="0.2">
      <c r="A3" s="14" t="s">
        <v>6</v>
      </c>
      <c r="B3" s="15" t="s">
        <v>38</v>
      </c>
      <c r="C3" s="4"/>
      <c r="D3" s="4"/>
    </row>
    <row r="4" spans="1:8" x14ac:dyDescent="0.2">
      <c r="B4" t="s">
        <v>39</v>
      </c>
      <c r="F4" s="10">
        <v>250</v>
      </c>
    </row>
    <row r="5" spans="1:8" x14ac:dyDescent="0.2">
      <c r="B5" t="s">
        <v>40</v>
      </c>
      <c r="F5" s="10">
        <v>250</v>
      </c>
    </row>
    <row r="6" spans="1:8" x14ac:dyDescent="0.2">
      <c r="B6" t="s">
        <v>41</v>
      </c>
      <c r="F6" s="10">
        <v>250</v>
      </c>
    </row>
    <row r="7" spans="1:8" x14ac:dyDescent="0.2">
      <c r="B7" t="s">
        <v>42</v>
      </c>
      <c r="F7" s="10">
        <v>250</v>
      </c>
    </row>
    <row r="8" spans="1:8" x14ac:dyDescent="0.2">
      <c r="B8" t="s">
        <v>43</v>
      </c>
      <c r="F8" s="10">
        <v>250</v>
      </c>
    </row>
    <row r="9" spans="1:8" x14ac:dyDescent="0.2">
      <c r="B9" t="s">
        <v>44</v>
      </c>
      <c r="F9" s="10">
        <v>250</v>
      </c>
    </row>
    <row r="10" spans="1:8" x14ac:dyDescent="0.2">
      <c r="B10" t="s">
        <v>45</v>
      </c>
      <c r="F10" s="10">
        <v>250</v>
      </c>
    </row>
    <row r="11" spans="1:8" x14ac:dyDescent="0.2">
      <c r="B11" t="s">
        <v>46</v>
      </c>
      <c r="F11" s="10">
        <v>250</v>
      </c>
    </row>
    <row r="12" spans="1:8" x14ac:dyDescent="0.2">
      <c r="B12" t="s">
        <v>47</v>
      </c>
      <c r="F12" s="10">
        <v>250</v>
      </c>
    </row>
    <row r="13" spans="1:8" x14ac:dyDescent="0.2">
      <c r="B13" t="s">
        <v>48</v>
      </c>
      <c r="F13" s="10">
        <v>250</v>
      </c>
    </row>
    <row r="14" spans="1:8" x14ac:dyDescent="0.2">
      <c r="B14" t="s">
        <v>49</v>
      </c>
      <c r="F14" s="10">
        <v>250</v>
      </c>
    </row>
    <row r="15" spans="1:8" x14ac:dyDescent="0.2">
      <c r="B15" t="s">
        <v>50</v>
      </c>
      <c r="F15" s="10">
        <v>250</v>
      </c>
    </row>
    <row r="16" spans="1:8" x14ac:dyDescent="0.2">
      <c r="B16" t="s">
        <v>51</v>
      </c>
      <c r="F16" s="10">
        <v>250</v>
      </c>
    </row>
    <row r="17" spans="2:6" x14ac:dyDescent="0.2">
      <c r="B17" t="s">
        <v>52</v>
      </c>
      <c r="F17" s="10">
        <v>250</v>
      </c>
    </row>
    <row r="18" spans="2:6" x14ac:dyDescent="0.2">
      <c r="B18" t="s">
        <v>53</v>
      </c>
      <c r="F18" s="10">
        <v>250</v>
      </c>
    </row>
    <row r="19" spans="2:6" x14ac:dyDescent="0.2">
      <c r="B19" t="s">
        <v>54</v>
      </c>
      <c r="F19" s="10">
        <v>250</v>
      </c>
    </row>
    <row r="20" spans="2:6" x14ac:dyDescent="0.2">
      <c r="B20" t="s">
        <v>55</v>
      </c>
      <c r="F20" s="10">
        <v>250</v>
      </c>
    </row>
    <row r="21" spans="2:6" x14ac:dyDescent="0.2">
      <c r="B21" t="s">
        <v>56</v>
      </c>
      <c r="F21" s="10">
        <v>250</v>
      </c>
    </row>
    <row r="22" spans="2:6" x14ac:dyDescent="0.2">
      <c r="B22" t="s">
        <v>57</v>
      </c>
      <c r="F22" s="10">
        <v>250</v>
      </c>
    </row>
    <row r="23" spans="2:6" x14ac:dyDescent="0.2">
      <c r="B23" t="s">
        <v>58</v>
      </c>
      <c r="F23" s="10">
        <v>250</v>
      </c>
    </row>
    <row r="24" spans="2:6" x14ac:dyDescent="0.2">
      <c r="B24" t="s">
        <v>59</v>
      </c>
      <c r="F24" s="10">
        <v>250</v>
      </c>
    </row>
    <row r="25" spans="2:6" x14ac:dyDescent="0.2">
      <c r="B25" t="s">
        <v>60</v>
      </c>
      <c r="F25" s="10">
        <v>250</v>
      </c>
    </row>
    <row r="26" spans="2:6" x14ac:dyDescent="0.2">
      <c r="B26" t="s">
        <v>61</v>
      </c>
      <c r="F26" s="10">
        <v>250</v>
      </c>
    </row>
    <row r="27" spans="2:6" x14ac:dyDescent="0.2">
      <c r="B27" t="s">
        <v>62</v>
      </c>
      <c r="F27" s="10">
        <v>250</v>
      </c>
    </row>
    <row r="28" spans="2:6" x14ac:dyDescent="0.2">
      <c r="B28" t="s">
        <v>63</v>
      </c>
      <c r="F28" s="10">
        <v>250</v>
      </c>
    </row>
    <row r="29" spans="2:6" x14ac:dyDescent="0.2">
      <c r="B29" t="s">
        <v>64</v>
      </c>
      <c r="F29" s="10">
        <v>250</v>
      </c>
    </row>
    <row r="30" spans="2:6" x14ac:dyDescent="0.2">
      <c r="B30" t="s">
        <v>65</v>
      </c>
      <c r="F30" s="10">
        <v>250</v>
      </c>
    </row>
    <row r="31" spans="2:6" x14ac:dyDescent="0.2">
      <c r="B31" t="s">
        <v>66</v>
      </c>
      <c r="F31" s="10">
        <v>250</v>
      </c>
    </row>
    <row r="32" spans="2:6" x14ac:dyDescent="0.2">
      <c r="B32" t="s">
        <v>67</v>
      </c>
      <c r="F32" s="10">
        <v>250</v>
      </c>
    </row>
    <row r="33" spans="2:6" x14ac:dyDescent="0.2">
      <c r="B33" t="s">
        <v>68</v>
      </c>
      <c r="F33" s="10">
        <v>250</v>
      </c>
    </row>
    <row r="34" spans="2:6" x14ac:dyDescent="0.2">
      <c r="B34" t="s">
        <v>69</v>
      </c>
      <c r="F34" s="10">
        <v>250</v>
      </c>
    </row>
    <row r="35" spans="2:6" x14ac:dyDescent="0.2">
      <c r="B35" t="s">
        <v>70</v>
      </c>
      <c r="F35" s="10">
        <v>250</v>
      </c>
    </row>
    <row r="36" spans="2:6" x14ac:dyDescent="0.2">
      <c r="B36" t="s">
        <v>71</v>
      </c>
      <c r="F36" s="10">
        <v>250</v>
      </c>
    </row>
    <row r="37" spans="2:6" x14ac:dyDescent="0.2">
      <c r="B37" t="s">
        <v>72</v>
      </c>
      <c r="F37" s="10">
        <v>250</v>
      </c>
    </row>
    <row r="38" spans="2:6" x14ac:dyDescent="0.2">
      <c r="B38" t="s">
        <v>73</v>
      </c>
      <c r="F38" s="10">
        <v>250</v>
      </c>
    </row>
    <row r="39" spans="2:6" x14ac:dyDescent="0.2">
      <c r="B39" t="s">
        <v>74</v>
      </c>
      <c r="F39" s="10">
        <v>250</v>
      </c>
    </row>
    <row r="40" spans="2:6" x14ac:dyDescent="0.2">
      <c r="B40" t="s">
        <v>75</v>
      </c>
      <c r="F40" s="10">
        <v>250</v>
      </c>
    </row>
    <row r="41" spans="2:6" x14ac:dyDescent="0.2">
      <c r="B41" t="s">
        <v>76</v>
      </c>
      <c r="F41" s="10">
        <v>250</v>
      </c>
    </row>
    <row r="42" spans="2:6" x14ac:dyDescent="0.2">
      <c r="B42" t="s">
        <v>77</v>
      </c>
      <c r="F42" s="10">
        <v>250</v>
      </c>
    </row>
    <row r="43" spans="2:6" x14ac:dyDescent="0.2">
      <c r="B43" t="s">
        <v>78</v>
      </c>
      <c r="F43" s="10">
        <v>250</v>
      </c>
    </row>
    <row r="44" spans="2:6" x14ac:dyDescent="0.2">
      <c r="B44" t="s">
        <v>79</v>
      </c>
      <c r="F44" s="10">
        <v>250</v>
      </c>
    </row>
    <row r="45" spans="2:6" x14ac:dyDescent="0.2">
      <c r="B45" t="s">
        <v>80</v>
      </c>
      <c r="F45" s="10">
        <v>250</v>
      </c>
    </row>
    <row r="46" spans="2:6" x14ac:dyDescent="0.2">
      <c r="B46" t="s">
        <v>81</v>
      </c>
      <c r="F46" s="10">
        <v>250</v>
      </c>
    </row>
    <row r="47" spans="2:6" x14ac:dyDescent="0.2">
      <c r="B47" t="s">
        <v>82</v>
      </c>
      <c r="F47" s="10">
        <v>250</v>
      </c>
    </row>
    <row r="48" spans="2:6" x14ac:dyDescent="0.2">
      <c r="B48" t="s">
        <v>83</v>
      </c>
      <c r="F48" s="10">
        <v>250</v>
      </c>
    </row>
    <row r="49" spans="2:6" x14ac:dyDescent="0.2">
      <c r="B49" t="s">
        <v>84</v>
      </c>
      <c r="F49" s="10">
        <v>250</v>
      </c>
    </row>
    <row r="50" spans="2:6" x14ac:dyDescent="0.2">
      <c r="B50" t="s">
        <v>85</v>
      </c>
      <c r="F50" s="10">
        <v>250</v>
      </c>
    </row>
    <row r="51" spans="2:6" x14ac:dyDescent="0.2">
      <c r="B51" t="s">
        <v>86</v>
      </c>
      <c r="F51" s="10">
        <v>250</v>
      </c>
    </row>
    <row r="52" spans="2:6" x14ac:dyDescent="0.2">
      <c r="B52" t="s">
        <v>87</v>
      </c>
      <c r="F52" s="10">
        <v>250</v>
      </c>
    </row>
    <row r="53" spans="2:6" x14ac:dyDescent="0.2">
      <c r="B53" t="s">
        <v>88</v>
      </c>
      <c r="F53" s="10">
        <v>250</v>
      </c>
    </row>
    <row r="54" spans="2:6" x14ac:dyDescent="0.2">
      <c r="B54" t="s">
        <v>89</v>
      </c>
      <c r="F54" s="10">
        <v>250</v>
      </c>
    </row>
    <row r="55" spans="2:6" x14ac:dyDescent="0.2">
      <c r="B55" t="s">
        <v>90</v>
      </c>
      <c r="F55" s="10">
        <v>250</v>
      </c>
    </row>
    <row r="56" spans="2:6" x14ac:dyDescent="0.2">
      <c r="B56" t="s">
        <v>91</v>
      </c>
      <c r="F56" s="10">
        <v>250</v>
      </c>
    </row>
    <row r="57" spans="2:6" x14ac:dyDescent="0.2">
      <c r="B57" t="s">
        <v>92</v>
      </c>
      <c r="F57" s="10">
        <v>250</v>
      </c>
    </row>
    <row r="58" spans="2:6" x14ac:dyDescent="0.2">
      <c r="B58" t="s">
        <v>93</v>
      </c>
      <c r="F58" s="10">
        <v>250</v>
      </c>
    </row>
    <row r="59" spans="2:6" x14ac:dyDescent="0.2">
      <c r="B59" t="s">
        <v>94</v>
      </c>
      <c r="F59" s="10">
        <v>250</v>
      </c>
    </row>
    <row r="60" spans="2:6" x14ac:dyDescent="0.2">
      <c r="B60" t="s">
        <v>95</v>
      </c>
      <c r="F60" s="10">
        <v>250</v>
      </c>
    </row>
    <row r="61" spans="2:6" x14ac:dyDescent="0.2">
      <c r="B61" t="s">
        <v>96</v>
      </c>
      <c r="F61" s="10">
        <v>250</v>
      </c>
    </row>
    <row r="62" spans="2:6" x14ac:dyDescent="0.2">
      <c r="B62" t="s">
        <v>97</v>
      </c>
      <c r="F62" s="10">
        <v>250</v>
      </c>
    </row>
    <row r="63" spans="2:6" x14ac:dyDescent="0.2">
      <c r="B63" t="s">
        <v>98</v>
      </c>
      <c r="F63" s="10">
        <v>250</v>
      </c>
    </row>
    <row r="64" spans="2:6" x14ac:dyDescent="0.2">
      <c r="B64" t="s">
        <v>99</v>
      </c>
      <c r="F64" s="10">
        <v>250</v>
      </c>
    </row>
    <row r="65" spans="2:6" x14ac:dyDescent="0.2">
      <c r="B65" t="s">
        <v>100</v>
      </c>
      <c r="F65" s="10">
        <v>250</v>
      </c>
    </row>
    <row r="66" spans="2:6" x14ac:dyDescent="0.2">
      <c r="B66" t="s">
        <v>101</v>
      </c>
      <c r="F66" s="10">
        <v>250</v>
      </c>
    </row>
    <row r="67" spans="2:6" x14ac:dyDescent="0.2">
      <c r="B67" t="s">
        <v>102</v>
      </c>
      <c r="F67" s="10">
        <v>250</v>
      </c>
    </row>
    <row r="68" spans="2:6" x14ac:dyDescent="0.2">
      <c r="B68" t="s">
        <v>103</v>
      </c>
      <c r="F68" s="10">
        <v>250</v>
      </c>
    </row>
    <row r="69" spans="2:6" x14ac:dyDescent="0.2">
      <c r="B69" t="s">
        <v>104</v>
      </c>
      <c r="F69" s="10">
        <v>1500</v>
      </c>
    </row>
    <row r="70" spans="2:6" x14ac:dyDescent="0.2">
      <c r="B70" t="s">
        <v>105</v>
      </c>
      <c r="F70" s="10">
        <v>1500</v>
      </c>
    </row>
    <row r="71" spans="2:6" x14ac:dyDescent="0.2">
      <c r="B71" t="s">
        <v>106</v>
      </c>
      <c r="F71" s="10">
        <v>1500</v>
      </c>
    </row>
    <row r="72" spans="2:6" x14ac:dyDescent="0.2">
      <c r="B72" t="s">
        <v>107</v>
      </c>
      <c r="F72" s="10">
        <v>1500</v>
      </c>
    </row>
    <row r="73" spans="2:6" x14ac:dyDescent="0.2">
      <c r="B73" t="s">
        <v>108</v>
      </c>
      <c r="F73" s="10">
        <v>1500</v>
      </c>
    </row>
    <row r="74" spans="2:6" x14ac:dyDescent="0.2">
      <c r="B74" t="s">
        <v>109</v>
      </c>
      <c r="F74" s="10">
        <v>1500</v>
      </c>
    </row>
    <row r="75" spans="2:6" x14ac:dyDescent="0.2">
      <c r="B75" t="s">
        <v>110</v>
      </c>
      <c r="F75" s="10">
        <v>1500</v>
      </c>
    </row>
    <row r="76" spans="2:6" x14ac:dyDescent="0.2">
      <c r="B76" t="s">
        <v>111</v>
      </c>
      <c r="F76" s="10">
        <v>350</v>
      </c>
    </row>
    <row r="77" spans="2:6" x14ac:dyDescent="0.2">
      <c r="B77" t="s">
        <v>112</v>
      </c>
      <c r="F77" s="10">
        <v>350</v>
      </c>
    </row>
    <row r="78" spans="2:6" x14ac:dyDescent="0.2">
      <c r="B78" t="s">
        <v>113</v>
      </c>
      <c r="F78" s="10">
        <v>350</v>
      </c>
    </row>
    <row r="79" spans="2:6" x14ac:dyDescent="0.2">
      <c r="B79" t="s">
        <v>114</v>
      </c>
      <c r="F79" s="10">
        <v>350</v>
      </c>
    </row>
    <row r="80" spans="2:6" x14ac:dyDescent="0.2">
      <c r="B80" t="s">
        <v>115</v>
      </c>
      <c r="F80" s="10">
        <v>300</v>
      </c>
    </row>
    <row r="81" spans="1:6" x14ac:dyDescent="0.2">
      <c r="B81" t="s">
        <v>116</v>
      </c>
      <c r="F81" s="10">
        <v>300</v>
      </c>
    </row>
    <row r="82" spans="1:6" x14ac:dyDescent="0.2">
      <c r="B82" t="s">
        <v>117</v>
      </c>
      <c r="F82" s="10">
        <v>2000</v>
      </c>
    </row>
    <row r="83" spans="1:6" x14ac:dyDescent="0.2">
      <c r="B83" t="s">
        <v>117</v>
      </c>
      <c r="F83" s="10">
        <v>2500</v>
      </c>
    </row>
    <row r="84" spans="1:6" x14ac:dyDescent="0.2">
      <c r="B84" t="s">
        <v>117</v>
      </c>
      <c r="F84" s="10">
        <v>3000</v>
      </c>
    </row>
    <row r="85" spans="1:6" s="5" customFormat="1" ht="12.75" x14ac:dyDescent="0.2">
      <c r="A85" s="6"/>
      <c r="B85" s="9" t="s">
        <v>118</v>
      </c>
      <c r="D85" s="16"/>
      <c r="E85" s="17"/>
      <c r="F85" s="18">
        <v>2500</v>
      </c>
    </row>
    <row r="86" spans="1:6" s="5" customFormat="1" ht="12.75" x14ac:dyDescent="0.2">
      <c r="A86" s="6"/>
      <c r="B86" s="9" t="s">
        <v>118</v>
      </c>
      <c r="D86" s="16"/>
      <c r="E86" s="17"/>
      <c r="F86" s="18">
        <v>3500</v>
      </c>
    </row>
    <row r="87" spans="1:6" s="5" customFormat="1" ht="12.75" x14ac:dyDescent="0.2">
      <c r="A87" s="6"/>
      <c r="B87" s="9" t="s">
        <v>119</v>
      </c>
      <c r="D87" s="16"/>
      <c r="E87" s="17"/>
      <c r="F87" s="18">
        <v>4000</v>
      </c>
    </row>
    <row r="88" spans="1:6" s="5" customFormat="1" ht="12.75" x14ac:dyDescent="0.2">
      <c r="A88" s="6"/>
      <c r="B88" s="9" t="s">
        <v>119</v>
      </c>
      <c r="D88" s="16"/>
      <c r="E88" s="17"/>
      <c r="F88" s="18">
        <v>4500</v>
      </c>
    </row>
    <row r="89" spans="1:6" s="5" customFormat="1" ht="12.75" x14ac:dyDescent="0.2">
      <c r="A89" s="6"/>
      <c r="B89" s="9" t="s">
        <v>119</v>
      </c>
      <c r="D89" s="16"/>
      <c r="E89" s="17"/>
      <c r="F89" s="18">
        <v>5000</v>
      </c>
    </row>
    <row r="91" spans="1:6" x14ac:dyDescent="0.2">
      <c r="B91" s="19" t="s">
        <v>120</v>
      </c>
    </row>
    <row r="92" spans="1:6" x14ac:dyDescent="0.2">
      <c r="B92" s="3" t="s">
        <v>121</v>
      </c>
      <c r="F92" s="10">
        <v>800</v>
      </c>
    </row>
    <row r="93" spans="1:6" x14ac:dyDescent="0.2">
      <c r="B93" t="s">
        <v>122</v>
      </c>
      <c r="F93" s="10">
        <v>1000</v>
      </c>
    </row>
    <row r="94" spans="1:6" x14ac:dyDescent="0.2">
      <c r="B94" t="s">
        <v>122</v>
      </c>
      <c r="F94" s="10">
        <v>1200</v>
      </c>
    </row>
    <row r="95" spans="1:6" x14ac:dyDescent="0.2">
      <c r="B95" t="s">
        <v>122</v>
      </c>
      <c r="F95" s="10">
        <v>1500</v>
      </c>
    </row>
    <row r="96" spans="1:6" x14ac:dyDescent="0.2">
      <c r="B96" t="s">
        <v>123</v>
      </c>
      <c r="F96" s="10">
        <v>500</v>
      </c>
    </row>
    <row r="97" spans="2:6" x14ac:dyDescent="0.2">
      <c r="B97" t="s">
        <v>123</v>
      </c>
      <c r="F97" s="10">
        <v>800</v>
      </c>
    </row>
    <row r="98" spans="2:6" x14ac:dyDescent="0.2">
      <c r="B98" t="s">
        <v>123</v>
      </c>
      <c r="F98" s="10">
        <v>1000</v>
      </c>
    </row>
    <row r="99" spans="2:6" x14ac:dyDescent="0.2">
      <c r="B99" t="s">
        <v>123</v>
      </c>
      <c r="F99" s="10">
        <v>1200</v>
      </c>
    </row>
    <row r="100" spans="2:6" x14ac:dyDescent="0.2">
      <c r="B100" t="s">
        <v>123</v>
      </c>
      <c r="F100" s="10">
        <v>1500</v>
      </c>
    </row>
    <row r="101" spans="2:6" x14ac:dyDescent="0.2">
      <c r="B101" t="s">
        <v>123</v>
      </c>
      <c r="F101" s="10">
        <v>2000</v>
      </c>
    </row>
    <row r="102" spans="2:6" x14ac:dyDescent="0.2">
      <c r="B102" t="s">
        <v>124</v>
      </c>
      <c r="F102" s="10">
        <v>500</v>
      </c>
    </row>
    <row r="103" spans="2:6" x14ac:dyDescent="0.2">
      <c r="B103" t="s">
        <v>125</v>
      </c>
      <c r="F103" s="10">
        <v>500</v>
      </c>
    </row>
    <row r="104" spans="2:6" x14ac:dyDescent="0.2">
      <c r="B104" t="s">
        <v>126</v>
      </c>
      <c r="F104" s="10">
        <v>500</v>
      </c>
    </row>
    <row r="105" spans="2:6" x14ac:dyDescent="0.2">
      <c r="B105" t="s">
        <v>127</v>
      </c>
      <c r="F105" s="10">
        <v>500</v>
      </c>
    </row>
    <row r="106" spans="2:6" x14ac:dyDescent="0.2">
      <c r="B106" t="s">
        <v>128</v>
      </c>
      <c r="F106" s="10">
        <v>500</v>
      </c>
    </row>
    <row r="107" spans="2:6" x14ac:dyDescent="0.2">
      <c r="B107" t="s">
        <v>129</v>
      </c>
      <c r="F107" s="10">
        <v>500</v>
      </c>
    </row>
    <row r="108" spans="2:6" x14ac:dyDescent="0.2">
      <c r="B108" t="s">
        <v>130</v>
      </c>
      <c r="F108" s="10">
        <v>250</v>
      </c>
    </row>
    <row r="109" spans="2:6" x14ac:dyDescent="0.2">
      <c r="B109" t="s">
        <v>131</v>
      </c>
      <c r="F109" s="10">
        <v>500</v>
      </c>
    </row>
    <row r="111" spans="2:6" x14ac:dyDescent="0.2">
      <c r="B111" s="19" t="s">
        <v>132</v>
      </c>
    </row>
    <row r="112" spans="2:6" x14ac:dyDescent="0.2">
      <c r="B112" s="11" t="s">
        <v>133</v>
      </c>
      <c r="F112" s="20">
        <v>3000</v>
      </c>
    </row>
    <row r="113" spans="2:6" x14ac:dyDescent="0.2">
      <c r="B113" s="11" t="s">
        <v>134</v>
      </c>
      <c r="F113" s="20">
        <v>4000</v>
      </c>
    </row>
    <row r="114" spans="2:6" x14ac:dyDescent="0.2">
      <c r="B114" s="11" t="s">
        <v>34</v>
      </c>
      <c r="F114" s="20">
        <v>5000</v>
      </c>
    </row>
    <row r="115" spans="2:6" x14ac:dyDescent="0.2">
      <c r="B115" s="11" t="s">
        <v>135</v>
      </c>
      <c r="F115" s="20">
        <v>4500</v>
      </c>
    </row>
    <row r="116" spans="2:6" x14ac:dyDescent="0.2">
      <c r="B116" s="11" t="s">
        <v>33</v>
      </c>
      <c r="F116" s="20">
        <v>5500</v>
      </c>
    </row>
    <row r="117" spans="2:6" x14ac:dyDescent="0.2">
      <c r="B117" s="11" t="s">
        <v>34</v>
      </c>
      <c r="F117" s="20"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A3EF-9300-4AF6-95CA-DE508729F7BB}">
  <dimension ref="B3:J18"/>
  <sheetViews>
    <sheetView workbookViewId="0">
      <selection activeCell="N16" sqref="N16"/>
    </sheetView>
  </sheetViews>
  <sheetFormatPr defaultRowHeight="14.25" x14ac:dyDescent="0.2"/>
  <sheetData>
    <row r="3" spans="2:5" x14ac:dyDescent="0.2">
      <c r="B3" t="s">
        <v>136</v>
      </c>
      <c r="C3">
        <v>50</v>
      </c>
    </row>
    <row r="6" spans="2:5" x14ac:dyDescent="0.2">
      <c r="E6" s="5" t="str">
        <f>"จ๊ะเอ๋((( "&amp;BAHTTEXT(101.25)&amp;" "</f>
        <v xml:space="preserve">จ๊ะเอ๋((( หนึ่งร้อยเอ็ดบาทยี่สิบห้าสตางค์ </v>
      </c>
    </row>
    <row r="18" spans="10:10" x14ac:dyDescent="0.2">
      <c r="J18" t="str">
        <f>B4&amp;"  ("&amp;(F4)&amp;") "</f>
        <v xml:space="preserve">  () 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Chargable Items_SERVE</vt:lpstr>
      <vt:lpstr>Chargable Items_RIS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Sitti</dc:creator>
  <cp:lastModifiedBy>Rodmay Rodmay</cp:lastModifiedBy>
  <dcterms:created xsi:type="dcterms:W3CDTF">2019-09-06T06:13:07Z</dcterms:created>
  <dcterms:modified xsi:type="dcterms:W3CDTF">2019-10-02T05:37:37Z</dcterms:modified>
</cp:coreProperties>
</file>